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блеми" sheetId="1" state="visible" r:id="rId3"/>
    <sheet name="Навантаження" sheetId="2" state="visible" r:id="rId4"/>
    <sheet name="Групи" sheetId="3" state="visible" r:id="rId5"/>
    <sheet name="Викладачі" sheetId="4" state="visible" r:id="rId6"/>
    <sheet name="Збіги аудиторій" sheetId="5" state="visible" r:id="rId7"/>
    <sheet name="Параметри" sheetId="6" state="visible" r:id="rId8"/>
  </sheets>
  <definedNames>
    <definedName function="false" hidden="true" localSheetId="3" name="_xlnm._FilterDatabase" vbProcedure="false">Викладачі!$A$1:$I$49</definedName>
    <definedName function="false" hidden="true" localSheetId="2" name="_xlnm._FilterDatabase" vbProcedure="false">Групи!$A$1:$I$26</definedName>
    <definedName function="false" hidden="true" localSheetId="4" name="_xlnm._FilterDatabase" vbProcedure="false">'Збіги аудиторій'!$A$1:$J$81</definedName>
    <definedName function="false" hidden="true" localSheetId="1" name="_xlnm._FilterDatabase" vbProcedure="false">Навантаження!$A$1:$L$276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Пар за двотижневий цикл = чисельник + знаменник. Пара «щотижня» рахується в обох тижнях.</t>
        </r>
      </text>
    </comment>
    <comment ref="J1" authorId="0">
      <text>
        <r>
          <rPr>
            <sz val="10"/>
            <rFont val="Arial"/>
            <family val="2"/>
          </rPr>
          <t xml:space="preserve">2 год × (пар у чисельнику × тижнів чисельника + пар у знаменнику × тижнів знаменника). Тижні беруться за курсом групи з листа «Параметри».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Зі скріншотів QuickRaport. Для груп 92–99 там ще немає записів.</t>
        </r>
      </text>
    </comment>
    <comment ref="H1" authorId="0">
      <text>
        <r>
          <rPr>
            <sz val="10"/>
            <rFont val="Arial"/>
            <family val="2"/>
          </rPr>
          <t xml:space="preserve">Колонка faculty_id з groups.json. У відділень РЗ та ІТ вона не збігається зі скріншотами (лише КІ = 15 збігається).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Макс. пар на тиждень ÷ слотів на тиждень (лист «Параметри»). Слоти враховано без дублікатів для потоків.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З графіка освітнього процесу: кількість білих (теоретичних) тижнів з 1-го тижня (1–7 вересня). Для групи 85 збігається з «Тижнів у семестрі = 17» в аркуші навантаження.</t>
        </r>
      </text>
    </comment>
    <comment ref="C8" authorId="0">
      <text>
        <r>
          <rPr>
            <sz val="10"/>
            <rFont val="Arial"/>
            <family val="2"/>
          </rPr>
          <t xml:space="preserve">Тижні рахуються з 1-го: непарні = чисельник, парні = знаменник (так рахує застосунок при semester_start = 2026-08-31). При 17 тижнях: 9 чисельника і 8 знаменника.</t>
        </r>
      </text>
    </comment>
  </commentList>
</comments>
</file>

<file path=xl/sharedStrings.xml><?xml version="1.0" encoding="utf-8"?>
<sst xmlns="http://schemas.openxmlformats.org/spreadsheetml/2006/main" count="1543" uniqueCount="364">
  <si>
    <t xml:space="preserve">Знахідки в даних і рішення (дамп від 30.09.2026)</t>
  </si>
  <si>
    <t xml:space="preserve">№</t>
  </si>
  <si>
    <t xml:space="preserve">Пріоритет</t>
  </si>
  <si>
    <t xml:space="preserve">Що знайдено</t>
  </si>
  <si>
    <t xml:space="preserve">Скільки / де</t>
  </si>
  <si>
    <t xml:space="preserve">Що зробити</t>
  </si>
  <si>
    <t xml:space="preserve">Рішення</t>
  </si>
  <si>
    <t xml:space="preserve">Високий</t>
  </si>
  <si>
    <t xml:space="preserve">Аудиторія береться від викладача, а кілька викладачів мають одну: у той самий слот різні групи «сидять» в одній аудиторії.</t>
  </si>
  <si>
    <t xml:space="preserve">80 збігів в аудиторіях: 203, 301, 308, 426. Список на аркуші «Збіги аудиторій».</t>
  </si>
  <si>
    <t xml:space="preserve">Вирішувати вручну (поле аудиторії в занятті).</t>
  </si>
  <si>
    <t xml:space="preserve">Вручну пізніше. Генератор аудиторії не враховує.</t>
  </si>
  <si>
    <t xml:space="preserve">Предмет «Фізична культура» неактивний, але стоїть в активних заняттях. Паралельно є активний «Фізичне виховання».</t>
  </si>
  <si>
    <t xml:space="preserve">«Фізична культура» (id 78): 36 занять у групах 87–98. «Фізичне виховання» (id 79): 27 занять у групах 75–86 і 99.</t>
  </si>
  <si>
    <t xml:space="preserve">Перенести заняття з id 78 на id 79, видалити предмет 78.</t>
  </si>
  <si>
    <t xml:space="preserve">Один предмет. Залишити «Фізичне виховання».</t>
  </si>
  <si>
    <t xml:space="preserve">Викладач-заглушка «ДТЕФК !.!.» у «Захисті України»: це зовнішній блок, а не викладач.</t>
  </si>
  <si>
    <t xml:space="preserve">Групи 87, 89, 90, 91: понеділок, усі 4 пари, лише чисельник.</t>
  </si>
  <si>
    <t xml:space="preserve">У генераторі закріплений блок без викладача. У довіднику позначити як «зовнішній».</t>
  </si>
  <si>
    <t xml:space="preserve">Блок раз на два тижні для груп 2 курсу.</t>
  </si>
  <si>
    <t xml:space="preserve">Середній</t>
  </si>
  <si>
    <t xml:space="preserve">Один куратор веде виховну годину у двох груп в один слот (чт, 4 пара).</t>
  </si>
  <si>
    <t xml:space="preserve">Гончаров О.М.: групи 86 і 93.</t>
  </si>
  <si>
    <t xml:space="preserve">Закласти як потік: однакові викладач, предмет і слот дозволені.</t>
  </si>
  <si>
    <t xml:space="preserve">Так, спільна виховна година.</t>
  </si>
  <si>
    <t xml:space="preserve">settings.semester_start = 2025-09-01 (торішня дата). Парність працює, бо між 01.09.2025 і 31.08.2026 рівно 52 тижні.</t>
  </si>
  <si>
    <t xml:space="preserve">Поточне значення: 2025-09-01.</t>
  </si>
  <si>
    <t xml:space="preserve">Змінити на 2026-08-31 (понеділок). Парність не зміниться: 1-й тиждень графіка = чисельник.</t>
  </si>
  <si>
    <t xml:space="preserve">Найбільш завантажені викладачі майже повністю заповнюють свої слоти: це найжорсткіші обмеження для генератора.</t>
  </si>
  <si>
    <t xml:space="preserve">Сесь О.В., Домніна Г.С.: 17 з 20 слотів (85%); ще 7 викладачів по 15–16 слотів. Див. аркуш «Викладачі».</t>
  </si>
  <si>
    <t xml:space="preserve">Додати в генератор попередню перевірку виконуваності.</t>
  </si>
  <si>
    <t xml:space="preserve">У чисельнику і знаменнику один слот часто зайнятий різними предметами (чергування).</t>
  </si>
  <si>
    <t xml:space="preserve">65 слотів із різними предметами по тижнях, ще 12 слотів зайняті лише в одному тижні.</t>
  </si>
  <si>
    <t xml:space="preserve">Генератор працює з двома тижнями окремо.</t>
  </si>
  <si>
    <t xml:space="preserve">Другий викладач у ту саму пару: поділ групи на підгрупи.</t>
  </si>
  <si>
    <t xml:space="preserve">22 заняття: «Іноземна мова (за професійним спрямуванням)» (12) і «Технології (Модуль 2 „Креслення”)» (10).</t>
  </si>
  <si>
    <t xml:space="preserve">У моделі навантаження потрібна ознака «підгрупи».</t>
  </si>
  <si>
    <t xml:space="preserve">Так, це підгрупи.</t>
  </si>
  <si>
    <t xml:space="preserve">Комп’ютерна електроніка, група 85: у розкладі 3 пари в чисельнику і 2 у знаменнику = 43 пари = 86 год, за планом 84 год (2 + 3).</t>
  </si>
  <si>
    <t xml:space="preserve">Група 85. Комп’ютерна схемотехніка збігається з планом (2 + 3). Інші 6 предметів теж збігаються.</t>
  </si>
  <si>
    <t xml:space="preserve">Вирішити політику: рівно за годинами плану чи допустима +1 пара для вирівнювання тижнів (зараз 17 і 17 пар).</t>
  </si>
  <si>
    <t xml:space="preserve">Група 88 (2 курс, ЕА-25-1/9-88) без «Захисту України», хоча в інших 4 групах 2 курсу блок є.</t>
  </si>
  <si>
    <t xml:space="preserve">Понеділок чисельника в неї звичайний (пари 2–4).</t>
  </si>
  <si>
    <t xml:space="preserve">Перевірити, чи це так і має бути, чи блок не внесено.</t>
  </si>
  <si>
    <t xml:space="preserve">Низький</t>
  </si>
  <si>
    <t xml:space="preserve">Рядки «дробл. лаб. раб.» в аркуші навантаження мають 0 год/тиж і без викладача.</t>
  </si>
  <si>
    <t xml:space="preserve">Група 85: комп’ютерна електроніка 20 год, схемотехніка 40 год, WEB-дизайн 40 год.</t>
  </si>
  <si>
    <t xml:space="preserve">Припущення: це додаткові години на поділ лабораторних, окремих пар для групи вони не дають. Підтвердити.</t>
  </si>
  <si>
    <t xml:space="preserve">faculty_id груп у БД не збігається з відділеннями в QuickRaport.</t>
  </si>
  <si>
    <t xml:space="preserve">Збігається лише КІ (15). Групи РЗ і ІТ розкидані по faculty 12 і 13.</t>
  </si>
  <si>
    <t xml:space="preserve">Для планів навантаження використовувати шифр (спеціальність + рік вступу), а не faculty_id.</t>
  </si>
  <si>
    <t xml:space="preserve">Варіанти назв предметів, схожі на дублікати.</t>
  </si>
  <si>
    <t xml:space="preserve">«Інформатика» (10) і «Інформатика*» (5); «Економіка…» у трьох варіантах (13 / 4 / 8); «Основи національного с» обрізано (1 заняття).</t>
  </si>
  <si>
    <t xml:space="preserve">Перевірити, чи це різні предмети за планом.</t>
  </si>
  <si>
    <t xml:space="preserve">Не критично.</t>
  </si>
  <si>
    <t xml:space="preserve">Тестові дані в довідниках.</t>
  </si>
  <si>
    <t xml:space="preserve">Неактивні предмети: Programming, Databases, Web Technologies, Mathematics, Project Management. Неактивні викладачі: Olena Kovalenko, Ivan Petrenko, Maria Shevchenko, Andrii Bondar, Iryna Melnyk.</t>
  </si>
  <si>
    <t xml:space="preserve">Видалити: жоден з них не використовується в заняттях.</t>
  </si>
  <si>
    <t xml:space="preserve">Видалені (неактивні) заняття лишилися в таблиці.</t>
  </si>
  <si>
    <t xml:space="preserve">6 занять: групи 75, 77, 84, 85, 87.</t>
  </si>
  <si>
    <t xml:space="preserve">Можна видалити остаточно.</t>
  </si>
  <si>
    <t xml:space="preserve">Немає аудиторії у викладачів, які ведуть заняття.</t>
  </si>
  <si>
    <t xml:space="preserve">Веклич А.В. (1 пара на тиждень), ДТЕФК !.!.</t>
  </si>
  <si>
    <t xml:space="preserve">Вказати аудиторію або задавати вручну в занятті.</t>
  </si>
  <si>
    <t xml:space="preserve">Вручну.</t>
  </si>
  <si>
    <t xml:space="preserve">Інфо</t>
  </si>
  <si>
    <t xml:space="preserve">Конфліктів у поточному розкладі немає: жодна група і жоден викладач не мають двох різних занять в один слот.</t>
  </si>
  <si>
    <t xml:space="preserve">0 конфліктів груп, 0 конфліктів викладачів (потоки й спільні слоти не рахуються).</t>
  </si>
  <si>
    <t xml:space="preserve">Поточний розклад можна взяти як еталон для перевірки генератора.</t>
  </si>
  <si>
    <t xml:space="preserve">Виховна година є у всіх 25 груп: чт, 4 пара, щотижня, викладач = куратор групи. Інших занять у чт на 4 парі немає.</t>
  </si>
  <si>
    <t xml:space="preserve">25 груп із 25.</t>
  </si>
  <si>
    <t xml:space="preserve">Закодувати як закріплене правило.</t>
  </si>
  <si>
    <t xml:space="preserve">Групових вікон майже немає: 1 випадок на 125 групо-днів у кожному тижні (гр. 93, чт: пари 1, 2, 4).</t>
  </si>
  <si>
    <t xml:space="preserve">Група 93, четвер.</t>
  </si>
  <si>
    <t xml:space="preserve">Штраф за вікна в генераторі великий.</t>
  </si>
  <si>
    <t xml:space="preserve">Дзвінки в БД збігаються з графіком освітнього процесу: 09:00–10:20, 10:40–12:00, 12:30–13:50, 14:00–15:20.</t>
  </si>
  <si>
    <t xml:space="preserve">bell_schedule: 4 записи.</t>
  </si>
  <si>
    <t xml:space="preserve">Змін не потрібно.</t>
  </si>
  <si>
    <t xml:space="preserve">Група</t>
  </si>
  <si>
    <t xml:space="preserve">Курс</t>
  </si>
  <si>
    <t xml:space="preserve">Предмет</t>
  </si>
  <si>
    <t xml:space="preserve">Викладач</t>
  </si>
  <si>
    <t xml:space="preserve">2-й викладач</t>
  </si>
  <si>
    <t xml:space="preserve">Пар (чисельник)</t>
  </si>
  <si>
    <t xml:space="preserve">Пар (знаменник)</t>
  </si>
  <si>
    <t xml:space="preserve">Пар за 2 тижні</t>
  </si>
  <si>
    <t xml:space="preserve">Години на семестр (з плану)</t>
  </si>
  <si>
    <t xml:space="preserve">Розрахункові години за розкладом</t>
  </si>
  <si>
    <t xml:space="preserve">Різниця (план − розклад)</t>
  </si>
  <si>
    <t xml:space="preserve">Примітка</t>
  </si>
  <si>
    <t xml:space="preserve">Іноземна мова (за професійним спрямуванням)</t>
  </si>
  <si>
    <t xml:space="preserve">Токарєва О.В.</t>
  </si>
  <si>
    <t xml:space="preserve">Інфокомунікаційні системи та мережі</t>
  </si>
  <si>
    <t xml:space="preserve">Буханець В.О.</t>
  </si>
  <si>
    <t xml:space="preserve">Виховна година</t>
  </si>
  <si>
    <t xml:space="preserve">Закріплено: чт, 4 пара, щотижня</t>
  </si>
  <si>
    <t xml:space="preserve">Діагностика та ремонт радіоелектронної апаратури</t>
  </si>
  <si>
    <t xml:space="preserve">Рищиковець Т.Т.</t>
  </si>
  <si>
    <t xml:space="preserve">Економіка промисловості, основи підприємництва</t>
  </si>
  <si>
    <t xml:space="preserve">Басюк Н.Б.</t>
  </si>
  <si>
    <t xml:space="preserve">Мікропроцесори та мікроконтролери</t>
  </si>
  <si>
    <t xml:space="preserve">Криволап В.В.</t>
  </si>
  <si>
    <t xml:space="preserve">Процеси зберігання та захисту інформації</t>
  </si>
  <si>
    <t xml:space="preserve">Системи автоматичного керування</t>
  </si>
  <si>
    <t xml:space="preserve">Миргородський Д.А.</t>
  </si>
  <si>
    <t xml:space="preserve">Фізичне виховання</t>
  </si>
  <si>
    <t xml:space="preserve">Шапошнікова О.І.</t>
  </si>
  <si>
    <t xml:space="preserve">Гребенюк А.А.</t>
  </si>
  <si>
    <t xml:space="preserve">Каліста Ю.В.</t>
  </si>
  <si>
    <t xml:space="preserve">Автоматизовані системи</t>
  </si>
  <si>
    <t xml:space="preserve">Прохоркіна Н.Ю.</t>
  </si>
  <si>
    <t xml:space="preserve">Дишук Л.Г.</t>
  </si>
  <si>
    <t xml:space="preserve">Економіка та організація виробництва</t>
  </si>
  <si>
    <t xml:space="preserve">Технології звукового та телевізійного мовлення</t>
  </si>
  <si>
    <t xml:space="preserve">Валявський В.В.</t>
  </si>
  <si>
    <t xml:space="preserve">Технічне обслуговування та ремонт радіоелектронної апаратури</t>
  </si>
  <si>
    <t xml:space="preserve">Васильченко І.А.</t>
  </si>
  <si>
    <t xml:space="preserve">Цифрова техніка та мікропроцесори</t>
  </si>
  <si>
    <t xml:space="preserve">Дворніченко Н.Ф.</t>
  </si>
  <si>
    <t xml:space="preserve">Хочинська О.С.</t>
  </si>
  <si>
    <t xml:space="preserve">Шайтанова О.А.</t>
  </si>
  <si>
    <t xml:space="preserve">Філімончук А.В.</t>
  </si>
  <si>
    <t xml:space="preserve">Конструювання виробів електронної техніки і системи автоматизованого проектування</t>
  </si>
  <si>
    <t xml:space="preserve">Шевченко В.І.</t>
  </si>
  <si>
    <t xml:space="preserve">Основи автоматичного керування</t>
  </si>
  <si>
    <t xml:space="preserve">Калюжний І.С.</t>
  </si>
  <si>
    <t xml:space="preserve">Радіоавтоматика та джерела живлення</t>
  </si>
  <si>
    <t xml:space="preserve">Технічне обслуговування, ремонт та регулювання побутових електронних та радіотехнічних</t>
  </si>
  <si>
    <t xml:space="preserve">Шарапова С.П.</t>
  </si>
  <si>
    <t xml:space="preserve">Підгрупи: 2 викладачі в одну пару</t>
  </si>
  <si>
    <t xml:space="preserve">Домніна Г.С.</t>
  </si>
  <si>
    <t xml:space="preserve">Відеоінформаційні технології</t>
  </si>
  <si>
    <t xml:space="preserve">Чорний О.А.</t>
  </si>
  <si>
    <t xml:space="preserve">Діагностика та експлуатація компʼютерних систем і мереж</t>
  </si>
  <si>
    <t xml:space="preserve">Бурліков Ю.В.</t>
  </si>
  <si>
    <t xml:space="preserve">Андрєєв В.О.</t>
  </si>
  <si>
    <t xml:space="preserve">Економіка та планування виробництва</t>
  </si>
  <si>
    <t xml:space="preserve">Захист інформації в КС</t>
  </si>
  <si>
    <t xml:space="preserve">Жук В.Ю.</t>
  </si>
  <si>
    <t xml:space="preserve">Комп'ютерні системи і мережі</t>
  </si>
  <si>
    <t xml:space="preserve">Правда А.А.</t>
  </si>
  <si>
    <t xml:space="preserve">Системне програмування</t>
  </si>
  <si>
    <t xml:space="preserve">Дворніченко А.С.</t>
  </si>
  <si>
    <t xml:space="preserve">Грабовчак Т.В.</t>
  </si>
  <si>
    <t xml:space="preserve">Основи національного с</t>
  </si>
  <si>
    <t xml:space="preserve">Перепелиця С.М.</t>
  </si>
  <si>
    <t xml:space="preserve">Назва предмета обрізана</t>
  </si>
  <si>
    <t xml:space="preserve">Філіппов Д.В.</t>
  </si>
  <si>
    <t xml:space="preserve">Безпека життєдіяльності</t>
  </si>
  <si>
    <t xml:space="preserve">Електричні вимірювання та контроль електроних апаратів</t>
  </si>
  <si>
    <t xml:space="preserve">Медведєва Л.С.</t>
  </si>
  <si>
    <t xml:space="preserve">Основи філософських знань (філософія та релігієзнавство), соціологія</t>
  </si>
  <si>
    <t xml:space="preserve">Юшин П.Б.</t>
  </si>
  <si>
    <t xml:space="preserve">Сигнали та процеси в радіотехніці</t>
  </si>
  <si>
    <t xml:space="preserve">Теорія електричних та магнітних кіл</t>
  </si>
  <si>
    <t xml:space="preserve">Українська мова (за професійним спрямуванням)</t>
  </si>
  <si>
    <t xml:space="preserve">Веклич А.В.</t>
  </si>
  <si>
    <t xml:space="preserve">Радіопередавальні пристрої</t>
  </si>
  <si>
    <t xml:space="preserve">Технічна електроніка</t>
  </si>
  <si>
    <t xml:space="preserve">Кондратов О.В.</t>
  </si>
  <si>
    <t xml:space="preserve">Сесь О.В.</t>
  </si>
  <si>
    <t xml:space="preserve">Мікропроцесорні пристрої</t>
  </si>
  <si>
    <t xml:space="preserve">Основи інтернет-технологій</t>
  </si>
  <si>
    <t xml:space="preserve">Цифрова обробка інформації</t>
  </si>
  <si>
    <t xml:space="preserve">Підгрупи: 2 викладачі в одну пару; У плані: 34 год у Хочинської + 34 год у Токарєвої (др), одна пара для групи</t>
  </si>
  <si>
    <t xml:space="preserve">Прощенко І.М.</t>
  </si>
  <si>
    <t xml:space="preserve">Закріплено: чт, 4 пара, щотижня; Не входить в аркуш навантаження</t>
  </si>
  <si>
    <t xml:space="preserve">Дискретна математика</t>
  </si>
  <si>
    <t xml:space="preserve">Гончаров О.М.</t>
  </si>
  <si>
    <t xml:space="preserve">Комп'ютерна електроніка</t>
  </si>
  <si>
    <t xml:space="preserve">У плані окремим рядком «дробл. лаб. раб.» 20 год (0 год/тиж.)</t>
  </si>
  <si>
    <t xml:space="preserve">Комп'ютерна схемотехніка</t>
  </si>
  <si>
    <t xml:space="preserve">У плані окремим рядком «дробл. лаб. раб.» 40 год (0 год/тиж.)</t>
  </si>
  <si>
    <t xml:space="preserve">Технології WEB-дизайну</t>
  </si>
  <si>
    <t xml:space="preserve">Закріплено: чт, 4 пара, щотижня; Куратор веде 2 групи (86 і 93): спільна виховна година</t>
  </si>
  <si>
    <t xml:space="preserve">Іноземна мова</t>
  </si>
  <si>
    <t xml:space="preserve">Інформатика*</t>
  </si>
  <si>
    <t xml:space="preserve">Історія України*</t>
  </si>
  <si>
    <t xml:space="preserve">Біологія і екологія (Екологія)</t>
  </si>
  <si>
    <t xml:space="preserve">Елементна база радіотехніки</t>
  </si>
  <si>
    <t xml:space="preserve">Захист України</t>
  </si>
  <si>
    <t xml:space="preserve">ДТЕФК !.!.</t>
  </si>
  <si>
    <t xml:space="preserve">Зовнішній блок ДТЕФК: пн, 4 пари, лише чисельник (не викладач)</t>
  </si>
  <si>
    <t xml:space="preserve">Математика (Алгебра і початки аналізу)</t>
  </si>
  <si>
    <t xml:space="preserve">Коваль І.А.</t>
  </si>
  <si>
    <t xml:space="preserve">Технології (Модуль 1 "Основи підприємницької діяльності")</t>
  </si>
  <si>
    <t xml:space="preserve">Технології (Модуль 2 "Креслення")</t>
  </si>
  <si>
    <t xml:space="preserve">Васильченко І.І.</t>
  </si>
  <si>
    <t xml:space="preserve">Олійник О.Ю.</t>
  </si>
  <si>
    <t xml:space="preserve">Українська література</t>
  </si>
  <si>
    <t xml:space="preserve">Українська мова</t>
  </si>
  <si>
    <t xml:space="preserve">Фізика і астрономія</t>
  </si>
  <si>
    <t xml:space="preserve">Карпова Л.М.</t>
  </si>
  <si>
    <t xml:space="preserve">Фізична культура</t>
  </si>
  <si>
    <t xml:space="preserve">Предмет 78 «Фізична культура» = «Фізичне виховання» (злити)</t>
  </si>
  <si>
    <t xml:space="preserve">Інноваційні технології в радіотехніці</t>
  </si>
  <si>
    <t xml:space="preserve">Інформатика</t>
  </si>
  <si>
    <t xml:space="preserve">Ковальчук-Жук І.О.</t>
  </si>
  <si>
    <t xml:space="preserve">Махинько С.В.</t>
  </si>
  <si>
    <t xml:space="preserve">Комп'ютерні технології*</t>
  </si>
  <si>
    <t xml:space="preserve">Основи алгоритмів і методів програмування</t>
  </si>
  <si>
    <t xml:space="preserve">Біологія і екологія (Біологія)</t>
  </si>
  <si>
    <t xml:space="preserve">Кондратова О.О.</t>
  </si>
  <si>
    <t xml:space="preserve">Всесвітня історія</t>
  </si>
  <si>
    <t xml:space="preserve">Географія</t>
  </si>
  <si>
    <t xml:space="preserve">Шеремет Н.М.</t>
  </si>
  <si>
    <t xml:space="preserve">Громадянська освіта</t>
  </si>
  <si>
    <t xml:space="preserve">Зарубіжна література</t>
  </si>
  <si>
    <t xml:space="preserve">Хімія</t>
  </si>
  <si>
    <t xml:space="preserve">Продан О.В.</t>
  </si>
  <si>
    <t xml:space="preserve">Кучер М.Д.</t>
  </si>
  <si>
    <t xml:space="preserve">Вища математика</t>
  </si>
  <si>
    <t xml:space="preserve">Основи електроніки</t>
  </si>
  <si>
    <t xml:space="preserve">Основи правознавства</t>
  </si>
  <si>
    <t xml:space="preserve">Шифр (зі скану)</t>
  </si>
  <si>
    <t xml:space="preserve">Спеціальність</t>
  </si>
  <si>
    <t xml:space="preserve">Рік вступу</t>
  </si>
  <si>
    <t xml:space="preserve">Тижнів теорії, 1 сем.</t>
  </si>
  <si>
    <t xml:space="preserve">Відділення в QuickRaport</t>
  </si>
  <si>
    <t xml:space="preserve">faculty_id у БД</t>
  </si>
  <si>
    <t xml:space="preserve">ТР-23-1/9-75</t>
  </si>
  <si>
    <t xml:space="preserve">ТР</t>
  </si>
  <si>
    <t xml:space="preserve">ІТ</t>
  </si>
  <si>
    <t xml:space="preserve">ТР-23-2/9-76</t>
  </si>
  <si>
    <t xml:space="preserve">РЗ-23-1/9-77</t>
  </si>
  <si>
    <t xml:space="preserve">РЗ</t>
  </si>
  <si>
    <t xml:space="preserve">ЕА-23-1/9-78</t>
  </si>
  <si>
    <t xml:space="preserve">ЕА</t>
  </si>
  <si>
    <t xml:space="preserve">КІ-23-1/9-79</t>
  </si>
  <si>
    <t xml:space="preserve">КІ</t>
  </si>
  <si>
    <t xml:space="preserve">КІ-23-2/9-80</t>
  </si>
  <si>
    <t xml:space="preserve">ТР-24-1/9-81</t>
  </si>
  <si>
    <t xml:space="preserve">ТР-24-2/9-82</t>
  </si>
  <si>
    <t xml:space="preserve">РЗ-24-1/9-83</t>
  </si>
  <si>
    <t xml:space="preserve">ЕА-24-1/9-84</t>
  </si>
  <si>
    <t xml:space="preserve">КІ-24-1/9-85</t>
  </si>
  <si>
    <t xml:space="preserve">КІ-24-2/9-86</t>
  </si>
  <si>
    <t xml:space="preserve">ТР-25-1/9-87</t>
  </si>
  <si>
    <t xml:space="preserve">Блок «Захист України» (пн, 4 пари, чисельник)</t>
  </si>
  <si>
    <t xml:space="preserve">ЕА-25-1/9-88</t>
  </si>
  <si>
    <t xml:space="preserve">Другий курс, але блоку «Захист України» у розкладі немає</t>
  </si>
  <si>
    <t xml:space="preserve">ЕА-25-2/9-89</t>
  </si>
  <si>
    <t xml:space="preserve">КІ-25-1/9-90</t>
  </si>
  <si>
    <t xml:space="preserve">КІ-25-2/9-91</t>
  </si>
  <si>
    <t xml:space="preserve">МЗ-26-92</t>
  </si>
  <si>
    <t xml:space="preserve">МЗ</t>
  </si>
  <si>
    <t xml:space="preserve">МЗ-26-93</t>
  </si>
  <si>
    <t xml:space="preserve">ЕА-26-94</t>
  </si>
  <si>
    <t xml:space="preserve">ЕА-26-95</t>
  </si>
  <si>
    <t xml:space="preserve">КС-26-96</t>
  </si>
  <si>
    <t xml:space="preserve">КС</t>
  </si>
  <si>
    <t xml:space="preserve">КІ-26-97</t>
  </si>
  <si>
    <t xml:space="preserve">КІ-26-98</t>
  </si>
  <si>
    <t xml:space="preserve">G5-26-99</t>
  </si>
  <si>
    <t xml:space="preserve">G5</t>
  </si>
  <si>
    <t xml:space="preserve">Перший курс, але сесія в січні (як у 3 курсу). Шифр «G5» прочитано зі скану, перевір.</t>
  </si>
  <si>
    <t xml:space="preserve">Аудиторія</t>
  </si>
  <si>
    <t xml:space="preserve">Куратор груп</t>
  </si>
  <si>
    <t xml:space="preserve">Макс. пар на тиждень</t>
  </si>
  <si>
    <t xml:space="preserve">Завантаженість слотів</t>
  </si>
  <si>
    <t xml:space="preserve">Днів у тижні</t>
  </si>
  <si>
    <t xml:space="preserve">207</t>
  </si>
  <si>
    <t xml:space="preserve">79</t>
  </si>
  <si>
    <t xml:space="preserve">416</t>
  </si>
  <si>
    <t xml:space="preserve">84</t>
  </si>
  <si>
    <t xml:space="preserve">227</t>
  </si>
  <si>
    <t xml:space="preserve">77</t>
  </si>
  <si>
    <t xml:space="preserve">418</t>
  </si>
  <si>
    <t xml:space="preserve">76</t>
  </si>
  <si>
    <t xml:space="preserve">411</t>
  </si>
  <si>
    <t xml:space="preserve">85</t>
  </si>
  <si>
    <t xml:space="preserve">317</t>
  </si>
  <si>
    <t xml:space="preserve">Спортивний комплекс</t>
  </si>
  <si>
    <t xml:space="preserve">95</t>
  </si>
  <si>
    <t xml:space="preserve">203</t>
  </si>
  <si>
    <t xml:space="preserve">87</t>
  </si>
  <si>
    <t xml:space="preserve">Спільна аудиторія з 2 інш.</t>
  </si>
  <si>
    <t xml:space="preserve">425</t>
  </si>
  <si>
    <t xml:space="preserve">92</t>
  </si>
  <si>
    <t xml:space="preserve">201</t>
  </si>
  <si>
    <t xml:space="preserve">81</t>
  </si>
  <si>
    <t xml:space="preserve">212</t>
  </si>
  <si>
    <t xml:space="preserve">80</t>
  </si>
  <si>
    <t xml:space="preserve">407</t>
  </si>
  <si>
    <t xml:space="preserve">91</t>
  </si>
  <si>
    <t xml:space="preserve">423</t>
  </si>
  <si>
    <t xml:space="preserve">90</t>
  </si>
  <si>
    <t xml:space="preserve">408</t>
  </si>
  <si>
    <t xml:space="preserve">98</t>
  </si>
  <si>
    <t xml:space="preserve">413</t>
  </si>
  <si>
    <t xml:space="preserve">97</t>
  </si>
  <si>
    <t xml:space="preserve">414</t>
  </si>
  <si>
    <t xml:space="preserve">308</t>
  </si>
  <si>
    <t xml:space="preserve">88</t>
  </si>
  <si>
    <t xml:space="preserve">Спільна аудиторія з 3 інш.</t>
  </si>
  <si>
    <t xml:space="preserve">419</t>
  </si>
  <si>
    <t xml:space="preserve">75</t>
  </si>
  <si>
    <t xml:space="preserve">206</t>
  </si>
  <si>
    <t xml:space="preserve">426</t>
  </si>
  <si>
    <t xml:space="preserve">86, 93</t>
  </si>
  <si>
    <t xml:space="preserve">Спільна аудиторія з 1 інш.</t>
  </si>
  <si>
    <t xml:space="preserve">229</t>
  </si>
  <si>
    <t xml:space="preserve">83</t>
  </si>
  <si>
    <t xml:space="preserve">303</t>
  </si>
  <si>
    <t xml:space="preserve">99</t>
  </si>
  <si>
    <t xml:space="preserve">421</t>
  </si>
  <si>
    <t xml:space="preserve">94</t>
  </si>
  <si>
    <t xml:space="preserve">301</t>
  </si>
  <si>
    <t xml:space="preserve">310</t>
  </si>
  <si>
    <t xml:space="preserve">309</t>
  </si>
  <si>
    <t xml:space="preserve">209</t>
  </si>
  <si>
    <t xml:space="preserve">313</t>
  </si>
  <si>
    <t xml:space="preserve">405</t>
  </si>
  <si>
    <t xml:space="preserve">307</t>
  </si>
  <si>
    <t xml:space="preserve">96</t>
  </si>
  <si>
    <t xml:space="preserve">318</t>
  </si>
  <si>
    <t xml:space="preserve">78</t>
  </si>
  <si>
    <t xml:space="preserve">89</t>
  </si>
  <si>
    <t xml:space="preserve">402</t>
  </si>
  <si>
    <t xml:space="preserve">Заглушка: зовнішній блок, не реальний викладач; Немає аудиторії</t>
  </si>
  <si>
    <t xml:space="preserve">312</t>
  </si>
  <si>
    <t xml:space="preserve">304</t>
  </si>
  <si>
    <t xml:space="preserve">82</t>
  </si>
  <si>
    <t xml:space="preserve">Немає аудиторії</t>
  </si>
  <si>
    <t xml:space="preserve">404</t>
  </si>
  <si>
    <t xml:space="preserve">День</t>
  </si>
  <si>
    <t xml:space="preserve">Пара</t>
  </si>
  <si>
    <t xml:space="preserve">Тиждень</t>
  </si>
  <si>
    <t xml:space="preserve">Група A</t>
  </si>
  <si>
    <t xml:space="preserve">Викладач A</t>
  </si>
  <si>
    <t xml:space="preserve">Предмет A</t>
  </si>
  <si>
    <t xml:space="preserve">Група B</t>
  </si>
  <si>
    <t xml:space="preserve">Викладач B</t>
  </si>
  <si>
    <t xml:space="preserve">Предмет B</t>
  </si>
  <si>
    <t xml:space="preserve">Пн</t>
  </si>
  <si>
    <t xml:space="preserve">знаменник</t>
  </si>
  <si>
    <t xml:space="preserve">Вт</t>
  </si>
  <si>
    <t xml:space="preserve">чисельник</t>
  </si>
  <si>
    <t xml:space="preserve">Ср</t>
  </si>
  <si>
    <t xml:space="preserve">Чт</t>
  </si>
  <si>
    <t xml:space="preserve">Пт</t>
  </si>
  <si>
    <t xml:space="preserve">Параметри та легенда</t>
  </si>
  <si>
    <t xml:space="preserve">Слотів на тиждень у викладача</t>
  </si>
  <si>
    <t xml:space="preserve">Припущення: 5 днів × 4 пари.</t>
  </si>
  <si>
    <t xml:space="preserve">Годин в одній парі</t>
  </si>
  <si>
    <t xml:space="preserve">Твоє правило: 1 пара = 2 академічні години.</t>
  </si>
  <si>
    <t xml:space="preserve">Початок навчального року (рік)</t>
  </si>
  <si>
    <t xml:space="preserve">Курс групи = цей рік − рік вступу + 1.</t>
  </si>
  <si>
    <t xml:space="preserve">Тижні 1-го семестру за графіком освітнього процесу 2026/27</t>
  </si>
  <si>
    <t xml:space="preserve">Тижнів теорії</t>
  </si>
  <si>
    <t xml:space="preserve">Чисельник</t>
  </si>
  <si>
    <t xml:space="preserve">Знаменник</t>
  </si>
  <si>
    <t xml:space="preserve">Що після теорії (за графіком)</t>
  </si>
  <si>
    <t xml:space="preserve">Канікули 18–19 тиждень, далі знову теорія. Виняток: група 99, у неї сесія 18–19 і канікули 20–21.</t>
  </si>
  <si>
    <t xml:space="preserve">Канікули 18–19 тиждень, далі знову теорія.</t>
  </si>
  <si>
    <t xml:space="preserve">Сесія 18–19, канікули 20–21, далі практика за групами.</t>
  </si>
  <si>
    <t xml:space="preserve">Теорія до 20-го тижня, сесія 21–22, канікули 23–24, далі практика.</t>
  </si>
  <si>
    <t xml:space="preserve">Як користуватися</t>
  </si>
  <si>
    <t xml:space="preserve">Аркуш «Навантаження»: пари взято з поточного розкладу. Жовту колонку «Години на семестр (з плану)» заповнюй з навчального плану / аркуша навантаження.</t>
  </si>
  <si>
    <t xml:space="preserve">Розрахункові години = 2 × (пар у чисельнику × тижнів чисельника + пар у знаменнику × тижнів знаменника). При 17 тижнях: 9 тижнів чисельника і 8 знаменника, тому «2,5 пари на тиждень» дає рівно 42 пари = 84 год лише як 2 чисельник + 3 знаменник.</t>
  </si>
  <si>
    <t xml:space="preserve">Різниця = години з плану − розрахункові за розкладом. Від’ємне число: у розкладі більше годин, ніж у плані.</t>
  </si>
  <si>
    <t xml:space="preserve">Аркуш «Групи»: шифр, рік вступу і курс кожної групи (із графіка освітнього процесу 2026/27). Шифри прочитано зі скану, перевір.</t>
  </si>
  <si>
    <t xml:space="preserve">Аркуші «Проблеми» і «Збіги аудиторій»: знахідки в даних і твої рішення.</t>
  </si>
  <si>
    <t xml:space="preserve">Джерела: дамп бази від 30.09.2026, графік освітнього процесу 2026/27, аркуш навантаження групи 85 (1-й семестр).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</si>
</sst>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36"/>
  </cols>
  <sheetData>
    <row r="1" customFormat="false" ht="16.15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66" hidden="false" customHeight="true" outlineLevel="0" collapsed="false">
      <c r="A4" s="3" t="n">
        <v>1</v>
      </c>
      <c r="B4" s="3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 customFormat="false" ht="66" hidden="false" customHeight="true" outlineLevel="0" collapsed="false">
      <c r="A5" s="3" t="n">
        <v>2</v>
      </c>
      <c r="B5" s="3" t="s">
        <v>7</v>
      </c>
      <c r="C5" s="4" t="s">
        <v>12</v>
      </c>
      <c r="D5" s="4" t="s">
        <v>13</v>
      </c>
      <c r="E5" s="4" t="s">
        <v>14</v>
      </c>
      <c r="F5" s="4" t="s">
        <v>15</v>
      </c>
    </row>
    <row r="6" customFormat="false" ht="66" hidden="false" customHeight="true" outlineLevel="0" collapsed="false">
      <c r="A6" s="3" t="n">
        <v>3</v>
      </c>
      <c r="B6" s="3" t="s">
        <v>7</v>
      </c>
      <c r="C6" s="4" t="s">
        <v>16</v>
      </c>
      <c r="D6" s="4" t="s">
        <v>17</v>
      </c>
      <c r="E6" s="4" t="s">
        <v>18</v>
      </c>
      <c r="F6" s="4" t="s">
        <v>19</v>
      </c>
    </row>
    <row r="7" customFormat="false" ht="66" hidden="false" customHeight="true" outlineLevel="0" collapsed="false">
      <c r="A7" s="3" t="n">
        <v>4</v>
      </c>
      <c r="B7" s="3" t="s">
        <v>20</v>
      </c>
      <c r="C7" s="4" t="s">
        <v>21</v>
      </c>
      <c r="D7" s="4" t="s">
        <v>22</v>
      </c>
      <c r="E7" s="4" t="s">
        <v>23</v>
      </c>
      <c r="F7" s="4" t="s">
        <v>24</v>
      </c>
    </row>
    <row r="8" customFormat="false" ht="66" hidden="false" customHeight="true" outlineLevel="0" collapsed="false">
      <c r="A8" s="3" t="n">
        <v>5</v>
      </c>
      <c r="B8" s="3" t="s">
        <v>20</v>
      </c>
      <c r="C8" s="4" t="s">
        <v>25</v>
      </c>
      <c r="D8" s="4" t="s">
        <v>26</v>
      </c>
      <c r="E8" s="4" t="s">
        <v>27</v>
      </c>
      <c r="F8" s="4"/>
    </row>
    <row r="9" customFormat="false" ht="66" hidden="false" customHeight="true" outlineLevel="0" collapsed="false">
      <c r="A9" s="3" t="n">
        <v>6</v>
      </c>
      <c r="B9" s="3" t="s">
        <v>20</v>
      </c>
      <c r="C9" s="4" t="s">
        <v>28</v>
      </c>
      <c r="D9" s="4" t="s">
        <v>29</v>
      </c>
      <c r="E9" s="4" t="s">
        <v>30</v>
      </c>
      <c r="F9" s="4"/>
    </row>
    <row r="10" customFormat="false" ht="66" hidden="false" customHeight="true" outlineLevel="0" collapsed="false">
      <c r="A10" s="3" t="n">
        <v>7</v>
      </c>
      <c r="B10" s="3" t="s">
        <v>20</v>
      </c>
      <c r="C10" s="4" t="s">
        <v>31</v>
      </c>
      <c r="D10" s="4" t="s">
        <v>32</v>
      </c>
      <c r="E10" s="4" t="s">
        <v>33</v>
      </c>
      <c r="F10" s="4"/>
    </row>
    <row r="11" customFormat="false" ht="66" hidden="false" customHeight="true" outlineLevel="0" collapsed="false">
      <c r="A11" s="3" t="n">
        <v>8</v>
      </c>
      <c r="B11" s="3" t="s">
        <v>20</v>
      </c>
      <c r="C11" s="4" t="s">
        <v>34</v>
      </c>
      <c r="D11" s="4" t="s">
        <v>35</v>
      </c>
      <c r="E11" s="4" t="s">
        <v>36</v>
      </c>
      <c r="F11" s="4" t="s">
        <v>37</v>
      </c>
    </row>
    <row r="12" customFormat="false" ht="66" hidden="false" customHeight="true" outlineLevel="0" collapsed="false">
      <c r="A12" s="3" t="n">
        <v>9</v>
      </c>
      <c r="B12" s="3" t="s">
        <v>20</v>
      </c>
      <c r="C12" s="4" t="s">
        <v>38</v>
      </c>
      <c r="D12" s="4" t="s">
        <v>39</v>
      </c>
      <c r="E12" s="4" t="s">
        <v>40</v>
      </c>
      <c r="F12" s="4"/>
    </row>
    <row r="13" customFormat="false" ht="66" hidden="false" customHeight="true" outlineLevel="0" collapsed="false">
      <c r="A13" s="3" t="n">
        <v>10</v>
      </c>
      <c r="B13" s="3" t="s">
        <v>20</v>
      </c>
      <c r="C13" s="4" t="s">
        <v>41</v>
      </c>
      <c r="D13" s="4" t="s">
        <v>42</v>
      </c>
      <c r="E13" s="4" t="s">
        <v>43</v>
      </c>
      <c r="F13" s="4"/>
    </row>
    <row r="14" customFormat="false" ht="66" hidden="false" customHeight="true" outlineLevel="0" collapsed="false">
      <c r="A14" s="3" t="n">
        <v>11</v>
      </c>
      <c r="B14" s="3" t="s">
        <v>44</v>
      </c>
      <c r="C14" s="4" t="s">
        <v>45</v>
      </c>
      <c r="D14" s="4" t="s">
        <v>46</v>
      </c>
      <c r="E14" s="4" t="s">
        <v>47</v>
      </c>
      <c r="F14" s="4"/>
    </row>
    <row r="15" customFormat="false" ht="66" hidden="false" customHeight="true" outlineLevel="0" collapsed="false">
      <c r="A15" s="3" t="n">
        <v>12</v>
      </c>
      <c r="B15" s="3" t="s">
        <v>44</v>
      </c>
      <c r="C15" s="4" t="s">
        <v>48</v>
      </c>
      <c r="D15" s="4" t="s">
        <v>49</v>
      </c>
      <c r="E15" s="4" t="s">
        <v>50</v>
      </c>
      <c r="F15" s="4"/>
    </row>
    <row r="16" customFormat="false" ht="66" hidden="false" customHeight="true" outlineLevel="0" collapsed="false">
      <c r="A16" s="3" t="n">
        <v>13</v>
      </c>
      <c r="B16" s="3" t="s">
        <v>44</v>
      </c>
      <c r="C16" s="4" t="s">
        <v>51</v>
      </c>
      <c r="D16" s="4" t="s">
        <v>52</v>
      </c>
      <c r="E16" s="4" t="s">
        <v>53</v>
      </c>
      <c r="F16" s="4" t="s">
        <v>54</v>
      </c>
    </row>
    <row r="17" customFormat="false" ht="66" hidden="false" customHeight="true" outlineLevel="0" collapsed="false">
      <c r="A17" s="3" t="n">
        <v>14</v>
      </c>
      <c r="B17" s="3" t="s">
        <v>44</v>
      </c>
      <c r="C17" s="4" t="s">
        <v>55</v>
      </c>
      <c r="D17" s="4" t="s">
        <v>56</v>
      </c>
      <c r="E17" s="4" t="s">
        <v>57</v>
      </c>
      <c r="F17" s="4"/>
    </row>
    <row r="18" customFormat="false" ht="66" hidden="false" customHeight="true" outlineLevel="0" collapsed="false">
      <c r="A18" s="3" t="n">
        <v>15</v>
      </c>
      <c r="B18" s="3" t="s">
        <v>44</v>
      </c>
      <c r="C18" s="4" t="s">
        <v>58</v>
      </c>
      <c r="D18" s="4" t="s">
        <v>59</v>
      </c>
      <c r="E18" s="4" t="s">
        <v>60</v>
      </c>
      <c r="F18" s="4"/>
    </row>
    <row r="19" customFormat="false" ht="66" hidden="false" customHeight="true" outlineLevel="0" collapsed="false">
      <c r="A19" s="3" t="n">
        <v>16</v>
      </c>
      <c r="B19" s="3" t="s">
        <v>44</v>
      </c>
      <c r="C19" s="4" t="s">
        <v>61</v>
      </c>
      <c r="D19" s="4" t="s">
        <v>62</v>
      </c>
      <c r="E19" s="4" t="s">
        <v>63</v>
      </c>
      <c r="F19" s="4" t="s">
        <v>64</v>
      </c>
    </row>
    <row r="20" customFormat="false" ht="66" hidden="false" customHeight="true" outlineLevel="0" collapsed="false">
      <c r="A20" s="3" t="n">
        <v>17</v>
      </c>
      <c r="B20" s="3" t="s">
        <v>65</v>
      </c>
      <c r="C20" s="4" t="s">
        <v>66</v>
      </c>
      <c r="D20" s="4" t="s">
        <v>67</v>
      </c>
      <c r="E20" s="4" t="s">
        <v>68</v>
      </c>
      <c r="F20" s="4"/>
    </row>
    <row r="21" customFormat="false" ht="66" hidden="false" customHeight="true" outlineLevel="0" collapsed="false">
      <c r="A21" s="3" t="n">
        <v>18</v>
      </c>
      <c r="B21" s="3" t="s">
        <v>65</v>
      </c>
      <c r="C21" s="4" t="s">
        <v>69</v>
      </c>
      <c r="D21" s="4" t="s">
        <v>70</v>
      </c>
      <c r="E21" s="4" t="s">
        <v>71</v>
      </c>
      <c r="F21" s="4"/>
    </row>
    <row r="22" customFormat="false" ht="66" hidden="false" customHeight="true" outlineLevel="0" collapsed="false">
      <c r="A22" s="3" t="n">
        <v>19</v>
      </c>
      <c r="B22" s="3" t="s">
        <v>65</v>
      </c>
      <c r="C22" s="4" t="s">
        <v>72</v>
      </c>
      <c r="D22" s="4" t="s">
        <v>73</v>
      </c>
      <c r="E22" s="4" t="s">
        <v>74</v>
      </c>
      <c r="F22" s="4"/>
    </row>
    <row r="23" customFormat="false" ht="66" hidden="false" customHeight="true" outlineLevel="0" collapsed="false">
      <c r="A23" s="3" t="n">
        <v>20</v>
      </c>
      <c r="B23" s="3" t="s">
        <v>65</v>
      </c>
      <c r="C23" s="4" t="s">
        <v>75</v>
      </c>
      <c r="D23" s="4" t="s">
        <v>76</v>
      </c>
      <c r="E23" s="4" t="s">
        <v>77</v>
      </c>
      <c r="F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5" min="4" style="0" width="22"/>
    <col collapsed="false" customWidth="true" hidden="false" outlineLevel="0" max="8" min="6" style="0" width="11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56"/>
  </cols>
  <sheetData>
    <row r="1" customFormat="false" ht="33.75" hidden="false" customHeight="true" outlineLevel="0" collapsed="false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</row>
    <row r="2" customFormat="false" ht="15" hidden="false" customHeight="false" outlineLevel="0" collapsed="false">
      <c r="A2" s="3" t="n">
        <v>75</v>
      </c>
      <c r="B2" s="5" t="n">
        <f aca="false">IFERROR(VLOOKUP(A2,Групи!$A$2:$E$26,5,FALSE()),"")</f>
        <v>4</v>
      </c>
      <c r="C2" s="4" t="s">
        <v>90</v>
      </c>
      <c r="D2" s="6" t="s">
        <v>91</v>
      </c>
      <c r="E2" s="6"/>
      <c r="F2" s="3" t="n">
        <v>1</v>
      </c>
      <c r="G2" s="3" t="n">
        <v>1</v>
      </c>
      <c r="H2" s="3" t="n">
        <f aca="false">F2+G2</f>
        <v>2</v>
      </c>
      <c r="I2" s="7"/>
      <c r="J2" s="5" t="n">
        <f aca="false">IF(B2="","",Параметри!$B$4*(F2*INDEX(Параметри!$C$9:$C$12,B2)+G2*INDEX(Параметри!$D$9:$D$12,B2)))</f>
        <v>40</v>
      </c>
      <c r="K2" s="3" t="str">
        <f aca="false">IF(OR(I2="",J2=""),"",I2-J2)</f>
        <v/>
      </c>
      <c r="L2" s="4"/>
    </row>
    <row r="3" customFormat="false" ht="15" hidden="false" customHeight="false" outlineLevel="0" collapsed="false">
      <c r="A3" s="3" t="n">
        <v>75</v>
      </c>
      <c r="B3" s="5" t="n">
        <f aca="false">IFERROR(VLOOKUP(A3,Групи!$A$2:$E$26,5,FALSE()),"")</f>
        <v>4</v>
      </c>
      <c r="C3" s="4" t="s">
        <v>92</v>
      </c>
      <c r="D3" s="6" t="s">
        <v>93</v>
      </c>
      <c r="E3" s="6"/>
      <c r="F3" s="3" t="n">
        <v>3</v>
      </c>
      <c r="G3" s="3" t="n">
        <v>3</v>
      </c>
      <c r="H3" s="3" t="n">
        <f aca="false">F3+G3</f>
        <v>6</v>
      </c>
      <c r="I3" s="7"/>
      <c r="J3" s="5" t="n">
        <f aca="false">IF(B3="","",Параметри!$B$4*(F3*INDEX(Параметри!$C$9:$C$12,B3)+G3*INDEX(Параметри!$D$9:$D$12,B3)))</f>
        <v>120</v>
      </c>
      <c r="K3" s="3" t="str">
        <f aca="false">IF(OR(I3="",J3=""),"",I3-J3)</f>
        <v/>
      </c>
      <c r="L3" s="4"/>
    </row>
    <row r="4" customFormat="false" ht="15" hidden="false" customHeight="false" outlineLevel="0" collapsed="false">
      <c r="A4" s="3" t="n">
        <v>75</v>
      </c>
      <c r="B4" s="5" t="n">
        <f aca="false">IFERROR(VLOOKUP(A4,Групи!$A$2:$E$26,5,FALSE()),"")</f>
        <v>4</v>
      </c>
      <c r="C4" s="4" t="s">
        <v>94</v>
      </c>
      <c r="D4" s="6" t="s">
        <v>91</v>
      </c>
      <c r="E4" s="6"/>
      <c r="F4" s="3" t="n">
        <v>1</v>
      </c>
      <c r="G4" s="3" t="n">
        <v>1</v>
      </c>
      <c r="H4" s="3" t="n">
        <f aca="false">F4+G4</f>
        <v>2</v>
      </c>
      <c r="I4" s="7"/>
      <c r="J4" s="5" t="n">
        <f aca="false">IF(B4="","",Параметри!$B$4*(F4*INDEX(Параметри!$C$9:$C$12,B4)+G4*INDEX(Параметри!$D$9:$D$12,B4)))</f>
        <v>40</v>
      </c>
      <c r="K4" s="3" t="str">
        <f aca="false">IF(OR(I4="",J4=""),"",I4-J4)</f>
        <v/>
      </c>
      <c r="L4" s="4" t="s">
        <v>95</v>
      </c>
    </row>
    <row r="5" customFormat="false" ht="15" hidden="false" customHeight="false" outlineLevel="0" collapsed="false">
      <c r="A5" s="3" t="n">
        <v>75</v>
      </c>
      <c r="B5" s="5" t="n">
        <f aca="false">IFERROR(VLOOKUP(A5,Групи!$A$2:$E$26,5,FALSE()),"")</f>
        <v>4</v>
      </c>
      <c r="C5" s="4" t="s">
        <v>96</v>
      </c>
      <c r="D5" s="6" t="s">
        <v>97</v>
      </c>
      <c r="E5" s="6"/>
      <c r="F5" s="3" t="n">
        <v>2</v>
      </c>
      <c r="G5" s="3" t="n">
        <v>2</v>
      </c>
      <c r="H5" s="3" t="n">
        <f aca="false">F5+G5</f>
        <v>4</v>
      </c>
      <c r="I5" s="7"/>
      <c r="J5" s="5" t="n">
        <f aca="false">IF(B5="","",Параметри!$B$4*(F5*INDEX(Параметри!$C$9:$C$12,B5)+G5*INDEX(Параметри!$D$9:$D$12,B5)))</f>
        <v>80</v>
      </c>
      <c r="K5" s="3" t="str">
        <f aca="false">IF(OR(I5="",J5=""),"",I5-J5)</f>
        <v/>
      </c>
      <c r="L5" s="4"/>
    </row>
    <row r="6" customFormat="false" ht="15" hidden="false" customHeight="false" outlineLevel="0" collapsed="false">
      <c r="A6" s="3" t="n">
        <v>75</v>
      </c>
      <c r="B6" s="5" t="n">
        <f aca="false">IFERROR(VLOOKUP(A6,Групи!$A$2:$E$26,5,FALSE()),"")</f>
        <v>4</v>
      </c>
      <c r="C6" s="4" t="s">
        <v>98</v>
      </c>
      <c r="D6" s="6" t="s">
        <v>99</v>
      </c>
      <c r="E6" s="6"/>
      <c r="F6" s="3" t="n">
        <v>2</v>
      </c>
      <c r="G6" s="3" t="n">
        <v>2</v>
      </c>
      <c r="H6" s="3" t="n">
        <f aca="false">F6+G6</f>
        <v>4</v>
      </c>
      <c r="I6" s="7"/>
      <c r="J6" s="5" t="n">
        <f aca="false">IF(B6="","",Параметри!$B$4*(F6*INDEX(Параметри!$C$9:$C$12,B6)+G6*INDEX(Параметри!$D$9:$D$12,B6)))</f>
        <v>80</v>
      </c>
      <c r="K6" s="3" t="str">
        <f aca="false">IF(OR(I6="",J6=""),"",I6-J6)</f>
        <v/>
      </c>
      <c r="L6" s="4"/>
    </row>
    <row r="7" customFormat="false" ht="15" hidden="false" customHeight="false" outlineLevel="0" collapsed="false">
      <c r="A7" s="3" t="n">
        <v>75</v>
      </c>
      <c r="B7" s="5" t="n">
        <f aca="false">IFERROR(VLOOKUP(A7,Групи!$A$2:$E$26,5,FALSE()),"")</f>
        <v>4</v>
      </c>
      <c r="C7" s="4" t="s">
        <v>100</v>
      </c>
      <c r="D7" s="6" t="s">
        <v>101</v>
      </c>
      <c r="E7" s="6"/>
      <c r="F7" s="3" t="n">
        <v>2</v>
      </c>
      <c r="G7" s="3" t="n">
        <v>2</v>
      </c>
      <c r="H7" s="3" t="n">
        <f aca="false">F7+G7</f>
        <v>4</v>
      </c>
      <c r="I7" s="7"/>
      <c r="J7" s="5" t="n">
        <f aca="false">IF(B7="","",Параметри!$B$4*(F7*INDEX(Параметри!$C$9:$C$12,B7)+G7*INDEX(Параметри!$D$9:$D$12,B7)))</f>
        <v>80</v>
      </c>
      <c r="K7" s="3" t="str">
        <f aca="false">IF(OR(I7="",J7=""),"",I7-J7)</f>
        <v/>
      </c>
      <c r="L7" s="4"/>
    </row>
    <row r="8" customFormat="false" ht="15" hidden="false" customHeight="false" outlineLevel="0" collapsed="false">
      <c r="A8" s="3" t="n">
        <v>75</v>
      </c>
      <c r="B8" s="5" t="n">
        <f aca="false">IFERROR(VLOOKUP(A8,Групи!$A$2:$E$26,5,FALSE()),"")</f>
        <v>4</v>
      </c>
      <c r="C8" s="4" t="s">
        <v>102</v>
      </c>
      <c r="D8" s="6" t="s">
        <v>101</v>
      </c>
      <c r="E8" s="6"/>
      <c r="F8" s="3" t="n">
        <v>2</v>
      </c>
      <c r="G8" s="3" t="n">
        <v>3</v>
      </c>
      <c r="H8" s="3" t="n">
        <f aca="false">F8+G8</f>
        <v>5</v>
      </c>
      <c r="I8" s="7"/>
      <c r="J8" s="5" t="n">
        <f aca="false">IF(B8="","",Параметри!$B$4*(F8*INDEX(Параметри!$C$9:$C$12,B8)+G8*INDEX(Параметри!$D$9:$D$12,B8)))</f>
        <v>100</v>
      </c>
      <c r="K8" s="3" t="str">
        <f aca="false">IF(OR(I8="",J8=""),"",I8-J8)</f>
        <v/>
      </c>
      <c r="L8" s="4"/>
    </row>
    <row r="9" customFormat="false" ht="15" hidden="false" customHeight="false" outlineLevel="0" collapsed="false">
      <c r="A9" s="3" t="n">
        <v>75</v>
      </c>
      <c r="B9" s="5" t="n">
        <f aca="false">IFERROR(VLOOKUP(A9,Групи!$A$2:$E$26,5,FALSE()),"")</f>
        <v>4</v>
      </c>
      <c r="C9" s="4" t="s">
        <v>103</v>
      </c>
      <c r="D9" s="6" t="s">
        <v>104</v>
      </c>
      <c r="E9" s="6"/>
      <c r="F9" s="3" t="n">
        <v>3</v>
      </c>
      <c r="G9" s="3" t="n">
        <v>2</v>
      </c>
      <c r="H9" s="3" t="n">
        <f aca="false">F9+G9</f>
        <v>5</v>
      </c>
      <c r="I9" s="7"/>
      <c r="J9" s="5" t="n">
        <f aca="false">IF(B9="","",Параметри!$B$4*(F9*INDEX(Параметри!$C$9:$C$12,B9)+G9*INDEX(Параметри!$D$9:$D$12,B9)))</f>
        <v>100</v>
      </c>
      <c r="K9" s="3" t="str">
        <f aca="false">IF(OR(I9="",J9=""),"",I9-J9)</f>
        <v/>
      </c>
      <c r="L9" s="4"/>
    </row>
    <row r="10" customFormat="false" ht="15" hidden="false" customHeight="false" outlineLevel="0" collapsed="false">
      <c r="A10" s="3" t="n">
        <v>75</v>
      </c>
      <c r="B10" s="5" t="n">
        <f aca="false">IFERROR(VLOOKUP(A10,Групи!$A$2:$E$26,5,FALSE()),"")</f>
        <v>4</v>
      </c>
      <c r="C10" s="4" t="s">
        <v>105</v>
      </c>
      <c r="D10" s="6" t="s">
        <v>106</v>
      </c>
      <c r="E10" s="6"/>
      <c r="F10" s="3" t="n">
        <v>1</v>
      </c>
      <c r="G10" s="3" t="n">
        <v>1</v>
      </c>
      <c r="H10" s="3" t="n">
        <f aca="false">F10+G10</f>
        <v>2</v>
      </c>
      <c r="I10" s="7"/>
      <c r="J10" s="5" t="n">
        <f aca="false">IF(B10="","",Параметри!$B$4*(F10*INDEX(Параметри!$C$9:$C$12,B10)+G10*INDEX(Параметри!$D$9:$D$12,B10)))</f>
        <v>40</v>
      </c>
      <c r="K10" s="3" t="str">
        <f aca="false">IF(OR(I10="",J10=""),"",I10-J10)</f>
        <v/>
      </c>
      <c r="L10" s="4"/>
    </row>
    <row r="11" customFormat="false" ht="15" hidden="false" customHeight="false" outlineLevel="0" collapsed="false">
      <c r="A11" s="3" t="n">
        <v>76</v>
      </c>
      <c r="B11" s="5" t="n">
        <f aca="false">IFERROR(VLOOKUP(A11,Групи!$A$2:$E$26,5,FALSE()),"")</f>
        <v>4</v>
      </c>
      <c r="C11" s="4" t="s">
        <v>90</v>
      </c>
      <c r="D11" s="6" t="s">
        <v>107</v>
      </c>
      <c r="E11" s="6"/>
      <c r="F11" s="3" t="n">
        <v>1</v>
      </c>
      <c r="G11" s="3" t="n">
        <v>1</v>
      </c>
      <c r="H11" s="3" t="n">
        <f aca="false">F11+G11</f>
        <v>2</v>
      </c>
      <c r="I11" s="7"/>
      <c r="J11" s="5" t="n">
        <f aca="false">IF(B11="","",Параметри!$B$4*(F11*INDEX(Параметри!$C$9:$C$12,B11)+G11*INDEX(Параметри!$D$9:$D$12,B11)))</f>
        <v>40</v>
      </c>
      <c r="K11" s="3" t="str">
        <f aca="false">IF(OR(I11="",J11=""),"",I11-J11)</f>
        <v/>
      </c>
      <c r="L11" s="4"/>
    </row>
    <row r="12" customFormat="false" ht="15" hidden="false" customHeight="false" outlineLevel="0" collapsed="false">
      <c r="A12" s="3" t="n">
        <v>76</v>
      </c>
      <c r="B12" s="5" t="n">
        <f aca="false">IFERROR(VLOOKUP(A12,Групи!$A$2:$E$26,5,FALSE()),"")</f>
        <v>4</v>
      </c>
      <c r="C12" s="4" t="s">
        <v>92</v>
      </c>
      <c r="D12" s="6" t="s">
        <v>93</v>
      </c>
      <c r="E12" s="6"/>
      <c r="F12" s="3" t="n">
        <v>3</v>
      </c>
      <c r="G12" s="3" t="n">
        <v>3</v>
      </c>
      <c r="H12" s="3" t="n">
        <f aca="false">F12+G12</f>
        <v>6</v>
      </c>
      <c r="I12" s="7"/>
      <c r="J12" s="5" t="n">
        <f aca="false">IF(B12="","",Параметри!$B$4*(F12*INDEX(Параметри!$C$9:$C$12,B12)+G12*INDEX(Параметри!$D$9:$D$12,B12)))</f>
        <v>120</v>
      </c>
      <c r="K12" s="3" t="str">
        <f aca="false">IF(OR(I12="",J12=""),"",I12-J12)</f>
        <v/>
      </c>
      <c r="L12" s="4"/>
    </row>
    <row r="13" customFormat="false" ht="15" hidden="false" customHeight="false" outlineLevel="0" collapsed="false">
      <c r="A13" s="3" t="n">
        <v>76</v>
      </c>
      <c r="B13" s="5" t="n">
        <f aca="false">IFERROR(VLOOKUP(A13,Групи!$A$2:$E$26,5,FALSE()),"")</f>
        <v>4</v>
      </c>
      <c r="C13" s="4" t="s">
        <v>94</v>
      </c>
      <c r="D13" s="6" t="s">
        <v>108</v>
      </c>
      <c r="E13" s="6"/>
      <c r="F13" s="3" t="n">
        <v>1</v>
      </c>
      <c r="G13" s="3" t="n">
        <v>1</v>
      </c>
      <c r="H13" s="3" t="n">
        <f aca="false">F13+G13</f>
        <v>2</v>
      </c>
      <c r="I13" s="7"/>
      <c r="J13" s="5" t="n">
        <f aca="false">IF(B13="","",Параметри!$B$4*(F13*INDEX(Параметри!$C$9:$C$12,B13)+G13*INDEX(Параметри!$D$9:$D$12,B13)))</f>
        <v>40</v>
      </c>
      <c r="K13" s="3" t="str">
        <f aca="false">IF(OR(I13="",J13=""),"",I13-J13)</f>
        <v/>
      </c>
      <c r="L13" s="4" t="s">
        <v>95</v>
      </c>
    </row>
    <row r="14" customFormat="false" ht="15" hidden="false" customHeight="false" outlineLevel="0" collapsed="false">
      <c r="A14" s="3" t="n">
        <v>76</v>
      </c>
      <c r="B14" s="5" t="n">
        <f aca="false">IFERROR(VLOOKUP(A14,Групи!$A$2:$E$26,5,FALSE()),"")</f>
        <v>4</v>
      </c>
      <c r="C14" s="4" t="s">
        <v>96</v>
      </c>
      <c r="D14" s="6" t="s">
        <v>97</v>
      </c>
      <c r="E14" s="6"/>
      <c r="F14" s="3" t="n">
        <v>2</v>
      </c>
      <c r="G14" s="3" t="n">
        <v>2</v>
      </c>
      <c r="H14" s="3" t="n">
        <f aca="false">F14+G14</f>
        <v>4</v>
      </c>
      <c r="I14" s="7"/>
      <c r="J14" s="5" t="n">
        <f aca="false">IF(B14="","",Параметри!$B$4*(F14*INDEX(Параметри!$C$9:$C$12,B14)+G14*INDEX(Параметри!$D$9:$D$12,B14)))</f>
        <v>80</v>
      </c>
      <c r="K14" s="3" t="str">
        <f aca="false">IF(OR(I14="",J14=""),"",I14-J14)</f>
        <v/>
      </c>
      <c r="L14" s="4"/>
    </row>
    <row r="15" customFormat="false" ht="15" hidden="false" customHeight="false" outlineLevel="0" collapsed="false">
      <c r="A15" s="3" t="n">
        <v>76</v>
      </c>
      <c r="B15" s="5" t="n">
        <f aca="false">IFERROR(VLOOKUP(A15,Групи!$A$2:$E$26,5,FALSE()),"")</f>
        <v>4</v>
      </c>
      <c r="C15" s="4" t="s">
        <v>98</v>
      </c>
      <c r="D15" s="6" t="s">
        <v>99</v>
      </c>
      <c r="E15" s="6"/>
      <c r="F15" s="3" t="n">
        <v>2</v>
      </c>
      <c r="G15" s="3" t="n">
        <v>2</v>
      </c>
      <c r="H15" s="3" t="n">
        <f aca="false">F15+G15</f>
        <v>4</v>
      </c>
      <c r="I15" s="7"/>
      <c r="J15" s="5" t="n">
        <f aca="false">IF(B15="","",Параметри!$B$4*(F15*INDEX(Параметри!$C$9:$C$12,B15)+G15*INDEX(Параметри!$D$9:$D$12,B15)))</f>
        <v>80</v>
      </c>
      <c r="K15" s="3" t="str">
        <f aca="false">IF(OR(I15="",J15=""),"",I15-J15)</f>
        <v/>
      </c>
      <c r="L15" s="4"/>
    </row>
    <row r="16" customFormat="false" ht="15" hidden="false" customHeight="false" outlineLevel="0" collapsed="false">
      <c r="A16" s="3" t="n">
        <v>76</v>
      </c>
      <c r="B16" s="5" t="n">
        <f aca="false">IFERROR(VLOOKUP(A16,Групи!$A$2:$E$26,5,FALSE()),"")</f>
        <v>4</v>
      </c>
      <c r="C16" s="4" t="s">
        <v>100</v>
      </c>
      <c r="D16" s="6" t="s">
        <v>101</v>
      </c>
      <c r="E16" s="6"/>
      <c r="F16" s="3" t="n">
        <v>2</v>
      </c>
      <c r="G16" s="3" t="n">
        <v>2</v>
      </c>
      <c r="H16" s="3" t="n">
        <f aca="false">F16+G16</f>
        <v>4</v>
      </c>
      <c r="I16" s="7"/>
      <c r="J16" s="5" t="n">
        <f aca="false">IF(B16="","",Параметри!$B$4*(F16*INDEX(Параметри!$C$9:$C$12,B16)+G16*INDEX(Параметри!$D$9:$D$12,B16)))</f>
        <v>80</v>
      </c>
      <c r="K16" s="3" t="str">
        <f aca="false">IF(OR(I16="",J16=""),"",I16-J16)</f>
        <v/>
      </c>
      <c r="L16" s="4"/>
    </row>
    <row r="17" customFormat="false" ht="15" hidden="false" customHeight="false" outlineLevel="0" collapsed="false">
      <c r="A17" s="3" t="n">
        <v>76</v>
      </c>
      <c r="B17" s="5" t="n">
        <f aca="false">IFERROR(VLOOKUP(A17,Групи!$A$2:$E$26,5,FALSE()),"")</f>
        <v>4</v>
      </c>
      <c r="C17" s="4" t="s">
        <v>102</v>
      </c>
      <c r="D17" s="6" t="s">
        <v>101</v>
      </c>
      <c r="E17" s="6"/>
      <c r="F17" s="3" t="n">
        <v>2</v>
      </c>
      <c r="G17" s="3" t="n">
        <v>3</v>
      </c>
      <c r="H17" s="3" t="n">
        <f aca="false">F17+G17</f>
        <v>5</v>
      </c>
      <c r="I17" s="7"/>
      <c r="J17" s="5" t="n">
        <f aca="false">IF(B17="","",Параметри!$B$4*(F17*INDEX(Параметри!$C$9:$C$12,B17)+G17*INDEX(Параметри!$D$9:$D$12,B17)))</f>
        <v>100</v>
      </c>
      <c r="K17" s="3" t="str">
        <f aca="false">IF(OR(I17="",J17=""),"",I17-J17)</f>
        <v/>
      </c>
      <c r="L17" s="4"/>
    </row>
    <row r="18" customFormat="false" ht="15" hidden="false" customHeight="false" outlineLevel="0" collapsed="false">
      <c r="A18" s="3" t="n">
        <v>76</v>
      </c>
      <c r="B18" s="5" t="n">
        <f aca="false">IFERROR(VLOOKUP(A18,Групи!$A$2:$E$26,5,FALSE()),"")</f>
        <v>4</v>
      </c>
      <c r="C18" s="4" t="s">
        <v>103</v>
      </c>
      <c r="D18" s="6" t="s">
        <v>104</v>
      </c>
      <c r="E18" s="6"/>
      <c r="F18" s="3" t="n">
        <v>3</v>
      </c>
      <c r="G18" s="3" t="n">
        <v>2</v>
      </c>
      <c r="H18" s="3" t="n">
        <f aca="false">F18+G18</f>
        <v>5</v>
      </c>
      <c r="I18" s="7"/>
      <c r="J18" s="5" t="n">
        <f aca="false">IF(B18="","",Параметри!$B$4*(F18*INDEX(Параметри!$C$9:$C$12,B18)+G18*INDEX(Параметри!$D$9:$D$12,B18)))</f>
        <v>100</v>
      </c>
      <c r="K18" s="3" t="str">
        <f aca="false">IF(OR(I18="",J18=""),"",I18-J18)</f>
        <v/>
      </c>
      <c r="L18" s="4"/>
    </row>
    <row r="19" customFormat="false" ht="15" hidden="false" customHeight="false" outlineLevel="0" collapsed="false">
      <c r="A19" s="3" t="n">
        <v>76</v>
      </c>
      <c r="B19" s="5" t="n">
        <f aca="false">IFERROR(VLOOKUP(A19,Групи!$A$2:$E$26,5,FALSE()),"")</f>
        <v>4</v>
      </c>
      <c r="C19" s="4" t="s">
        <v>105</v>
      </c>
      <c r="D19" s="6" t="s">
        <v>106</v>
      </c>
      <c r="E19" s="6"/>
      <c r="F19" s="3" t="n">
        <v>1</v>
      </c>
      <c r="G19" s="3" t="n">
        <v>1</v>
      </c>
      <c r="H19" s="3" t="n">
        <f aca="false">F19+G19</f>
        <v>2</v>
      </c>
      <c r="I19" s="7"/>
      <c r="J19" s="5" t="n">
        <f aca="false">IF(B19="","",Параметри!$B$4*(F19*INDEX(Параметри!$C$9:$C$12,B19)+G19*INDEX(Параметри!$D$9:$D$12,B19)))</f>
        <v>40</v>
      </c>
      <c r="K19" s="3" t="str">
        <f aca="false">IF(OR(I19="",J19=""),"",I19-J19)</f>
        <v/>
      </c>
      <c r="L19" s="4"/>
    </row>
    <row r="20" customFormat="false" ht="15" hidden="false" customHeight="false" outlineLevel="0" collapsed="false">
      <c r="A20" s="3" t="n">
        <v>77</v>
      </c>
      <c r="B20" s="5" t="n">
        <f aca="false">IFERROR(VLOOKUP(A20,Групи!$A$2:$E$26,5,FALSE()),"")</f>
        <v>4</v>
      </c>
      <c r="C20" s="4" t="s">
        <v>90</v>
      </c>
      <c r="D20" s="6" t="s">
        <v>91</v>
      </c>
      <c r="E20" s="6"/>
      <c r="F20" s="3" t="n">
        <v>1</v>
      </c>
      <c r="G20" s="3" t="n">
        <v>1</v>
      </c>
      <c r="H20" s="3" t="n">
        <f aca="false">F20+G20</f>
        <v>2</v>
      </c>
      <c r="I20" s="7"/>
      <c r="J20" s="5" t="n">
        <f aca="false">IF(B20="","",Параметри!$B$4*(F20*INDEX(Параметри!$C$9:$C$12,B20)+G20*INDEX(Параметри!$D$9:$D$12,B20)))</f>
        <v>40</v>
      </c>
      <c r="K20" s="3" t="str">
        <f aca="false">IF(OR(I20="",J20=""),"",I20-J20)</f>
        <v/>
      </c>
      <c r="L20" s="4"/>
    </row>
    <row r="21" customFormat="false" ht="15" hidden="false" customHeight="false" outlineLevel="0" collapsed="false">
      <c r="A21" s="3" t="n">
        <v>77</v>
      </c>
      <c r="B21" s="5" t="n">
        <f aca="false">IFERROR(VLOOKUP(A21,Групи!$A$2:$E$26,5,FALSE()),"")</f>
        <v>4</v>
      </c>
      <c r="C21" s="4" t="s">
        <v>92</v>
      </c>
      <c r="D21" s="6" t="s">
        <v>93</v>
      </c>
      <c r="E21" s="6"/>
      <c r="F21" s="3" t="n">
        <v>4</v>
      </c>
      <c r="G21" s="3" t="n">
        <v>4</v>
      </c>
      <c r="H21" s="3" t="n">
        <f aca="false">F21+G21</f>
        <v>8</v>
      </c>
      <c r="I21" s="7"/>
      <c r="J21" s="5" t="n">
        <f aca="false">IF(B21="","",Параметри!$B$4*(F21*INDEX(Параметри!$C$9:$C$12,B21)+G21*INDEX(Параметри!$D$9:$D$12,B21)))</f>
        <v>160</v>
      </c>
      <c r="K21" s="3" t="str">
        <f aca="false">IF(OR(I21="",J21=""),"",I21-J21)</f>
        <v/>
      </c>
      <c r="L21" s="4"/>
    </row>
    <row r="22" customFormat="false" ht="15" hidden="false" customHeight="false" outlineLevel="0" collapsed="false">
      <c r="A22" s="3" t="n">
        <v>77</v>
      </c>
      <c r="B22" s="5" t="n">
        <f aca="false">IFERROR(VLOOKUP(A22,Групи!$A$2:$E$26,5,FALSE()),"")</f>
        <v>4</v>
      </c>
      <c r="C22" s="4" t="s">
        <v>109</v>
      </c>
      <c r="D22" s="6" t="s">
        <v>110</v>
      </c>
      <c r="E22" s="6"/>
      <c r="F22" s="3" t="n">
        <v>2</v>
      </c>
      <c r="G22" s="3" t="n">
        <v>2</v>
      </c>
      <c r="H22" s="3" t="n">
        <f aca="false">F22+G22</f>
        <v>4</v>
      </c>
      <c r="I22" s="7"/>
      <c r="J22" s="5" t="n">
        <f aca="false">IF(B22="","",Параметри!$B$4*(F22*INDEX(Параметри!$C$9:$C$12,B22)+G22*INDEX(Параметри!$D$9:$D$12,B22)))</f>
        <v>80</v>
      </c>
      <c r="K22" s="3" t="str">
        <f aca="false">IF(OR(I22="",J22=""),"",I22-J22)</f>
        <v/>
      </c>
      <c r="L22" s="4"/>
    </row>
    <row r="23" customFormat="false" ht="15" hidden="false" customHeight="false" outlineLevel="0" collapsed="false">
      <c r="A23" s="3" t="n">
        <v>77</v>
      </c>
      <c r="B23" s="5" t="n">
        <f aca="false">IFERROR(VLOOKUP(A23,Групи!$A$2:$E$26,5,FALSE()),"")</f>
        <v>4</v>
      </c>
      <c r="C23" s="4" t="s">
        <v>94</v>
      </c>
      <c r="D23" s="6" t="s">
        <v>111</v>
      </c>
      <c r="E23" s="6"/>
      <c r="F23" s="3" t="n">
        <v>1</v>
      </c>
      <c r="G23" s="3" t="n">
        <v>1</v>
      </c>
      <c r="H23" s="3" t="n">
        <f aca="false">F23+G23</f>
        <v>2</v>
      </c>
      <c r="I23" s="7"/>
      <c r="J23" s="5" t="n">
        <f aca="false">IF(B23="","",Параметри!$B$4*(F23*INDEX(Параметри!$C$9:$C$12,B23)+G23*INDEX(Параметри!$D$9:$D$12,B23)))</f>
        <v>40</v>
      </c>
      <c r="K23" s="3" t="str">
        <f aca="false">IF(OR(I23="",J23=""),"",I23-J23)</f>
        <v/>
      </c>
      <c r="L23" s="4" t="s">
        <v>95</v>
      </c>
    </row>
    <row r="24" customFormat="false" ht="15" hidden="false" customHeight="false" outlineLevel="0" collapsed="false">
      <c r="A24" s="3" t="n">
        <v>77</v>
      </c>
      <c r="B24" s="5" t="n">
        <f aca="false">IFERROR(VLOOKUP(A24,Групи!$A$2:$E$26,5,FALSE()),"")</f>
        <v>4</v>
      </c>
      <c r="C24" s="4" t="s">
        <v>112</v>
      </c>
      <c r="D24" s="6" t="s">
        <v>99</v>
      </c>
      <c r="E24" s="6"/>
      <c r="F24" s="3" t="n">
        <v>2</v>
      </c>
      <c r="G24" s="3" t="n">
        <v>2</v>
      </c>
      <c r="H24" s="3" t="n">
        <f aca="false">F24+G24</f>
        <v>4</v>
      </c>
      <c r="I24" s="7"/>
      <c r="J24" s="5" t="n">
        <f aca="false">IF(B24="","",Параметри!$B$4*(F24*INDEX(Параметри!$C$9:$C$12,B24)+G24*INDEX(Параметри!$D$9:$D$12,B24)))</f>
        <v>80</v>
      </c>
      <c r="K24" s="3" t="str">
        <f aca="false">IF(OR(I24="",J24=""),"",I24-J24)</f>
        <v/>
      </c>
      <c r="L24" s="4"/>
    </row>
    <row r="25" customFormat="false" ht="15" hidden="false" customHeight="false" outlineLevel="0" collapsed="false">
      <c r="A25" s="3" t="n">
        <v>77</v>
      </c>
      <c r="B25" s="5" t="n">
        <f aca="false">IFERROR(VLOOKUP(A25,Групи!$A$2:$E$26,5,FALSE()),"")</f>
        <v>4</v>
      </c>
      <c r="C25" s="4" t="s">
        <v>113</v>
      </c>
      <c r="D25" s="6" t="s">
        <v>114</v>
      </c>
      <c r="E25" s="6"/>
      <c r="F25" s="3" t="n">
        <v>2</v>
      </c>
      <c r="G25" s="3" t="n">
        <v>2</v>
      </c>
      <c r="H25" s="3" t="n">
        <f aca="false">F25+G25</f>
        <v>4</v>
      </c>
      <c r="I25" s="7"/>
      <c r="J25" s="5" t="n">
        <f aca="false">IF(B25="","",Параметри!$B$4*(F25*INDEX(Параметри!$C$9:$C$12,B25)+G25*INDEX(Параметри!$D$9:$D$12,B25)))</f>
        <v>80</v>
      </c>
      <c r="K25" s="3" t="str">
        <f aca="false">IF(OR(I25="",J25=""),"",I25-J25)</f>
        <v/>
      </c>
      <c r="L25" s="4"/>
    </row>
    <row r="26" customFormat="false" ht="23.85" hidden="false" customHeight="false" outlineLevel="0" collapsed="false">
      <c r="A26" s="3" t="n">
        <v>77</v>
      </c>
      <c r="B26" s="5" t="n">
        <f aca="false">IFERROR(VLOOKUP(A26,Групи!$A$2:$E$26,5,FALSE()),"")</f>
        <v>4</v>
      </c>
      <c r="C26" s="4" t="s">
        <v>115</v>
      </c>
      <c r="D26" s="6" t="s">
        <v>116</v>
      </c>
      <c r="E26" s="6"/>
      <c r="F26" s="3" t="n">
        <v>2</v>
      </c>
      <c r="G26" s="3" t="n">
        <v>2</v>
      </c>
      <c r="H26" s="3" t="n">
        <f aca="false">F26+G26</f>
        <v>4</v>
      </c>
      <c r="I26" s="7"/>
      <c r="J26" s="5" t="n">
        <f aca="false">IF(B26="","",Параметри!$B$4*(F26*INDEX(Параметри!$C$9:$C$12,B26)+G26*INDEX(Параметри!$D$9:$D$12,B26)))</f>
        <v>80</v>
      </c>
      <c r="K26" s="3" t="str">
        <f aca="false">IF(OR(I26="",J26=""),"",I26-J26)</f>
        <v/>
      </c>
      <c r="L26" s="4"/>
    </row>
    <row r="27" customFormat="false" ht="15" hidden="false" customHeight="false" outlineLevel="0" collapsed="false">
      <c r="A27" s="3" t="n">
        <v>77</v>
      </c>
      <c r="B27" s="5" t="n">
        <f aca="false">IFERROR(VLOOKUP(A27,Групи!$A$2:$E$26,5,FALSE()),"")</f>
        <v>4</v>
      </c>
      <c r="C27" s="4" t="s">
        <v>105</v>
      </c>
      <c r="D27" s="6" t="s">
        <v>106</v>
      </c>
      <c r="E27" s="6"/>
      <c r="F27" s="3" t="n">
        <v>1</v>
      </c>
      <c r="G27" s="3" t="n">
        <v>1</v>
      </c>
      <c r="H27" s="3" t="n">
        <f aca="false">F27+G27</f>
        <v>2</v>
      </c>
      <c r="I27" s="7"/>
      <c r="J27" s="5" t="n">
        <f aca="false">IF(B27="","",Параметри!$B$4*(F27*INDEX(Параметри!$C$9:$C$12,B27)+G27*INDEX(Параметри!$D$9:$D$12,B27)))</f>
        <v>40</v>
      </c>
      <c r="K27" s="3" t="str">
        <f aca="false">IF(OR(I27="",J27=""),"",I27-J27)</f>
        <v/>
      </c>
      <c r="L27" s="4"/>
    </row>
    <row r="28" customFormat="false" ht="15" hidden="false" customHeight="false" outlineLevel="0" collapsed="false">
      <c r="A28" s="3" t="n">
        <v>77</v>
      </c>
      <c r="B28" s="5" t="n">
        <f aca="false">IFERROR(VLOOKUP(A28,Групи!$A$2:$E$26,5,FALSE()),"")</f>
        <v>4</v>
      </c>
      <c r="C28" s="4" t="s">
        <v>117</v>
      </c>
      <c r="D28" s="6" t="s">
        <v>118</v>
      </c>
      <c r="E28" s="6"/>
      <c r="F28" s="3" t="n">
        <v>2</v>
      </c>
      <c r="G28" s="3" t="n">
        <v>2</v>
      </c>
      <c r="H28" s="3" t="n">
        <f aca="false">F28+G28</f>
        <v>4</v>
      </c>
      <c r="I28" s="7"/>
      <c r="J28" s="5" t="n">
        <f aca="false">IF(B28="","",Параметри!$B$4*(F28*INDEX(Параметри!$C$9:$C$12,B28)+G28*INDEX(Параметри!$D$9:$D$12,B28)))</f>
        <v>80</v>
      </c>
      <c r="K28" s="3" t="str">
        <f aca="false">IF(OR(I28="",J28=""),"",I28-J28)</f>
        <v/>
      </c>
      <c r="L28" s="4"/>
    </row>
    <row r="29" customFormat="false" ht="15" hidden="false" customHeight="false" outlineLevel="0" collapsed="false">
      <c r="A29" s="3" t="n">
        <v>78</v>
      </c>
      <c r="B29" s="5" t="n">
        <f aca="false">IFERROR(VLOOKUP(A29,Групи!$A$2:$E$26,5,FALSE()),"")</f>
        <v>4</v>
      </c>
      <c r="C29" s="4" t="s">
        <v>90</v>
      </c>
      <c r="D29" s="6" t="s">
        <v>119</v>
      </c>
      <c r="E29" s="6"/>
      <c r="F29" s="3" t="n">
        <v>1</v>
      </c>
      <c r="G29" s="3" t="n">
        <v>1</v>
      </c>
      <c r="H29" s="3" t="n">
        <f aca="false">F29+G29</f>
        <v>2</v>
      </c>
      <c r="I29" s="7"/>
      <c r="J29" s="5" t="n">
        <f aca="false">IF(B29="","",Параметри!$B$4*(F29*INDEX(Параметри!$C$9:$C$12,B29)+G29*INDEX(Параметри!$D$9:$D$12,B29)))</f>
        <v>40</v>
      </c>
      <c r="K29" s="3" t="str">
        <f aca="false">IF(OR(I29="",J29=""),"",I29-J29)</f>
        <v/>
      </c>
      <c r="L29" s="4"/>
    </row>
    <row r="30" customFormat="false" ht="15" hidden="false" customHeight="false" outlineLevel="0" collapsed="false">
      <c r="A30" s="3" t="n">
        <v>78</v>
      </c>
      <c r="B30" s="5" t="n">
        <f aca="false">IFERROR(VLOOKUP(A30,Групи!$A$2:$E$26,5,FALSE()),"")</f>
        <v>4</v>
      </c>
      <c r="C30" s="4" t="s">
        <v>94</v>
      </c>
      <c r="D30" s="6" t="s">
        <v>120</v>
      </c>
      <c r="E30" s="6"/>
      <c r="F30" s="3" t="n">
        <v>1</v>
      </c>
      <c r="G30" s="3" t="n">
        <v>1</v>
      </c>
      <c r="H30" s="3" t="n">
        <f aca="false">F30+G30</f>
        <v>2</v>
      </c>
      <c r="I30" s="7"/>
      <c r="J30" s="5" t="n">
        <f aca="false">IF(B30="","",Параметри!$B$4*(F30*INDEX(Параметри!$C$9:$C$12,B30)+G30*INDEX(Параметри!$D$9:$D$12,B30)))</f>
        <v>40</v>
      </c>
      <c r="K30" s="3" t="str">
        <f aca="false">IF(OR(I30="",J30=""),"",I30-J30)</f>
        <v/>
      </c>
      <c r="L30" s="4" t="s">
        <v>95</v>
      </c>
    </row>
    <row r="31" customFormat="false" ht="15" hidden="false" customHeight="false" outlineLevel="0" collapsed="false">
      <c r="A31" s="3" t="n">
        <v>78</v>
      </c>
      <c r="B31" s="5" t="n">
        <f aca="false">IFERROR(VLOOKUP(A31,Групи!$A$2:$E$26,5,FALSE()),"")</f>
        <v>4</v>
      </c>
      <c r="C31" s="4" t="s">
        <v>98</v>
      </c>
      <c r="D31" s="6" t="s">
        <v>121</v>
      </c>
      <c r="E31" s="6"/>
      <c r="F31" s="3" t="n">
        <v>2</v>
      </c>
      <c r="G31" s="3" t="n">
        <v>2</v>
      </c>
      <c r="H31" s="3" t="n">
        <f aca="false">F31+G31</f>
        <v>4</v>
      </c>
      <c r="I31" s="7"/>
      <c r="J31" s="5" t="n">
        <f aca="false">IF(B31="","",Параметри!$B$4*(F31*INDEX(Параметри!$C$9:$C$12,B31)+G31*INDEX(Параметри!$D$9:$D$12,B31)))</f>
        <v>80</v>
      </c>
      <c r="K31" s="3" t="str">
        <f aca="false">IF(OR(I31="",J31=""),"",I31-J31)</f>
        <v/>
      </c>
      <c r="L31" s="4"/>
    </row>
    <row r="32" customFormat="false" ht="23.85" hidden="false" customHeight="false" outlineLevel="0" collapsed="false">
      <c r="A32" s="3" t="n">
        <v>78</v>
      </c>
      <c r="B32" s="5" t="n">
        <f aca="false">IFERROR(VLOOKUP(A32,Групи!$A$2:$E$26,5,FALSE()),"")</f>
        <v>4</v>
      </c>
      <c r="C32" s="4" t="s">
        <v>122</v>
      </c>
      <c r="D32" s="6" t="s">
        <v>123</v>
      </c>
      <c r="E32" s="6"/>
      <c r="F32" s="3" t="n">
        <v>1</v>
      </c>
      <c r="G32" s="3" t="n">
        <v>2</v>
      </c>
      <c r="H32" s="3" t="n">
        <f aca="false">F32+G32</f>
        <v>3</v>
      </c>
      <c r="I32" s="7"/>
      <c r="J32" s="5" t="n">
        <f aca="false">IF(B32="","",Параметри!$B$4*(F32*INDEX(Параметри!$C$9:$C$12,B32)+G32*INDEX(Параметри!$D$9:$D$12,B32)))</f>
        <v>60</v>
      </c>
      <c r="K32" s="3" t="str">
        <f aca="false">IF(OR(I32="",J32=""),"",I32-J32)</f>
        <v/>
      </c>
      <c r="L32" s="4"/>
    </row>
    <row r="33" customFormat="false" ht="15" hidden="false" customHeight="false" outlineLevel="0" collapsed="false">
      <c r="A33" s="3" t="n">
        <v>78</v>
      </c>
      <c r="B33" s="5" t="n">
        <f aca="false">IFERROR(VLOOKUP(A33,Групи!$A$2:$E$26,5,FALSE()),"")</f>
        <v>4</v>
      </c>
      <c r="C33" s="4" t="s">
        <v>124</v>
      </c>
      <c r="D33" s="6" t="s">
        <v>125</v>
      </c>
      <c r="E33" s="6"/>
      <c r="F33" s="3" t="n">
        <v>3</v>
      </c>
      <c r="G33" s="3" t="n">
        <v>3</v>
      </c>
      <c r="H33" s="3" t="n">
        <f aca="false">F33+G33</f>
        <v>6</v>
      </c>
      <c r="I33" s="7"/>
      <c r="J33" s="5" t="n">
        <f aca="false">IF(B33="","",Параметри!$B$4*(F33*INDEX(Параметри!$C$9:$C$12,B33)+G33*INDEX(Параметри!$D$9:$D$12,B33)))</f>
        <v>120</v>
      </c>
      <c r="K33" s="3" t="str">
        <f aca="false">IF(OR(I33="",J33=""),"",I33-J33)</f>
        <v/>
      </c>
      <c r="L33" s="4"/>
    </row>
    <row r="34" customFormat="false" ht="15" hidden="false" customHeight="false" outlineLevel="0" collapsed="false">
      <c r="A34" s="3" t="n">
        <v>78</v>
      </c>
      <c r="B34" s="5" t="n">
        <f aca="false">IFERROR(VLOOKUP(A34,Групи!$A$2:$E$26,5,FALSE()),"")</f>
        <v>4</v>
      </c>
      <c r="C34" s="4" t="s">
        <v>102</v>
      </c>
      <c r="D34" s="6" t="s">
        <v>101</v>
      </c>
      <c r="E34" s="6"/>
      <c r="F34" s="3" t="n">
        <v>1</v>
      </c>
      <c r="G34" s="3" t="n">
        <v>2</v>
      </c>
      <c r="H34" s="3" t="n">
        <f aca="false">F34+G34</f>
        <v>3</v>
      </c>
      <c r="I34" s="7"/>
      <c r="J34" s="5" t="n">
        <f aca="false">IF(B34="","",Параметри!$B$4*(F34*INDEX(Параметри!$C$9:$C$12,B34)+G34*INDEX(Параметри!$D$9:$D$12,B34)))</f>
        <v>60</v>
      </c>
      <c r="K34" s="3" t="str">
        <f aca="false">IF(OR(I34="",J34=""),"",I34-J34)</f>
        <v/>
      </c>
      <c r="L34" s="4"/>
    </row>
    <row r="35" customFormat="false" ht="15" hidden="false" customHeight="false" outlineLevel="0" collapsed="false">
      <c r="A35" s="3" t="n">
        <v>78</v>
      </c>
      <c r="B35" s="5" t="n">
        <f aca="false">IFERROR(VLOOKUP(A35,Групи!$A$2:$E$26,5,FALSE()),"")</f>
        <v>4</v>
      </c>
      <c r="C35" s="4" t="s">
        <v>126</v>
      </c>
      <c r="D35" s="6" t="s">
        <v>125</v>
      </c>
      <c r="E35" s="6"/>
      <c r="F35" s="3" t="n">
        <v>3</v>
      </c>
      <c r="G35" s="3" t="n">
        <v>1</v>
      </c>
      <c r="H35" s="3" t="n">
        <f aca="false">F35+G35</f>
        <v>4</v>
      </c>
      <c r="I35" s="7"/>
      <c r="J35" s="5" t="n">
        <f aca="false">IF(B35="","",Параметри!$B$4*(F35*INDEX(Параметри!$C$9:$C$12,B35)+G35*INDEX(Параметри!$D$9:$D$12,B35)))</f>
        <v>80</v>
      </c>
      <c r="K35" s="3" t="str">
        <f aca="false">IF(OR(I35="",J35=""),"",I35-J35)</f>
        <v/>
      </c>
      <c r="L35" s="4"/>
    </row>
    <row r="36" customFormat="false" ht="23.85" hidden="false" customHeight="false" outlineLevel="0" collapsed="false">
      <c r="A36" s="3" t="n">
        <v>78</v>
      </c>
      <c r="B36" s="5" t="n">
        <f aca="false">IFERROR(VLOOKUP(A36,Групи!$A$2:$E$26,5,FALSE()),"")</f>
        <v>4</v>
      </c>
      <c r="C36" s="4" t="s">
        <v>127</v>
      </c>
      <c r="D36" s="6" t="s">
        <v>116</v>
      </c>
      <c r="E36" s="6"/>
      <c r="F36" s="3" t="n">
        <v>4</v>
      </c>
      <c r="G36" s="3" t="n">
        <v>4</v>
      </c>
      <c r="H36" s="3" t="n">
        <f aca="false">F36+G36</f>
        <v>8</v>
      </c>
      <c r="I36" s="7"/>
      <c r="J36" s="5" t="n">
        <f aca="false">IF(B36="","",Параметри!$B$4*(F36*INDEX(Параметри!$C$9:$C$12,B36)+G36*INDEX(Параметри!$D$9:$D$12,B36)))</f>
        <v>160</v>
      </c>
      <c r="K36" s="3" t="str">
        <f aca="false">IF(OR(I36="",J36=""),"",I36-J36)</f>
        <v/>
      </c>
      <c r="L36" s="4"/>
    </row>
    <row r="37" customFormat="false" ht="15" hidden="false" customHeight="false" outlineLevel="0" collapsed="false">
      <c r="A37" s="3" t="n">
        <v>78</v>
      </c>
      <c r="B37" s="5" t="n">
        <f aca="false">IFERROR(VLOOKUP(A37,Групи!$A$2:$E$26,5,FALSE()),"")</f>
        <v>4</v>
      </c>
      <c r="C37" s="4" t="s">
        <v>105</v>
      </c>
      <c r="D37" s="6" t="s">
        <v>128</v>
      </c>
      <c r="E37" s="6"/>
      <c r="F37" s="3" t="n">
        <v>1</v>
      </c>
      <c r="G37" s="3" t="n">
        <v>1</v>
      </c>
      <c r="H37" s="3" t="n">
        <f aca="false">F37+G37</f>
        <v>2</v>
      </c>
      <c r="I37" s="7"/>
      <c r="J37" s="5" t="n">
        <f aca="false">IF(B37="","",Параметри!$B$4*(F37*INDEX(Параметри!$C$9:$C$12,B37)+G37*INDEX(Параметри!$D$9:$D$12,B37)))</f>
        <v>40</v>
      </c>
      <c r="K37" s="3" t="str">
        <f aca="false">IF(OR(I37="",J37=""),"",I37-J37)</f>
        <v/>
      </c>
      <c r="L37" s="4"/>
    </row>
    <row r="38" customFormat="false" ht="15" hidden="false" customHeight="false" outlineLevel="0" collapsed="false">
      <c r="A38" s="3" t="n">
        <v>79</v>
      </c>
      <c r="B38" s="5" t="n">
        <f aca="false">IFERROR(VLOOKUP(A38,Групи!$A$2:$E$26,5,FALSE()),"")</f>
        <v>4</v>
      </c>
      <c r="C38" s="4" t="s">
        <v>90</v>
      </c>
      <c r="D38" s="6" t="s">
        <v>91</v>
      </c>
      <c r="E38" s="6" t="s">
        <v>107</v>
      </c>
      <c r="F38" s="3" t="n">
        <v>1</v>
      </c>
      <c r="G38" s="3" t="n">
        <v>1</v>
      </c>
      <c r="H38" s="3" t="n">
        <f aca="false">F38+G38</f>
        <v>2</v>
      </c>
      <c r="I38" s="7"/>
      <c r="J38" s="5" t="n">
        <f aca="false">IF(B38="","",Параметри!$B$4*(F38*INDEX(Параметри!$C$9:$C$12,B38)+G38*INDEX(Параметри!$D$9:$D$12,B38)))</f>
        <v>40</v>
      </c>
      <c r="K38" s="3" t="str">
        <f aca="false">IF(OR(I38="",J38=""),"",I38-J38)</f>
        <v/>
      </c>
      <c r="L38" s="4" t="s">
        <v>129</v>
      </c>
    </row>
    <row r="39" customFormat="false" ht="15" hidden="false" customHeight="false" outlineLevel="0" collapsed="false">
      <c r="A39" s="3" t="n">
        <v>79</v>
      </c>
      <c r="B39" s="5" t="n">
        <f aca="false">IFERROR(VLOOKUP(A39,Групи!$A$2:$E$26,5,FALSE()),"")</f>
        <v>4</v>
      </c>
      <c r="C39" s="4" t="s">
        <v>94</v>
      </c>
      <c r="D39" s="6" t="s">
        <v>130</v>
      </c>
      <c r="E39" s="6"/>
      <c r="F39" s="3" t="n">
        <v>1</v>
      </c>
      <c r="G39" s="3" t="n">
        <v>1</v>
      </c>
      <c r="H39" s="3" t="n">
        <f aca="false">F39+G39</f>
        <v>2</v>
      </c>
      <c r="I39" s="7"/>
      <c r="J39" s="5" t="n">
        <f aca="false">IF(B39="","",Параметри!$B$4*(F39*INDEX(Параметри!$C$9:$C$12,B39)+G39*INDEX(Параметри!$D$9:$D$12,B39)))</f>
        <v>40</v>
      </c>
      <c r="K39" s="3" t="str">
        <f aca="false">IF(OR(I39="",J39=""),"",I39-J39)</f>
        <v/>
      </c>
      <c r="L39" s="4" t="s">
        <v>95</v>
      </c>
    </row>
    <row r="40" customFormat="false" ht="15" hidden="false" customHeight="false" outlineLevel="0" collapsed="false">
      <c r="A40" s="3" t="n">
        <v>79</v>
      </c>
      <c r="B40" s="5" t="n">
        <f aca="false">IFERROR(VLOOKUP(A40,Групи!$A$2:$E$26,5,FALSE()),"")</f>
        <v>4</v>
      </c>
      <c r="C40" s="4" t="s">
        <v>131</v>
      </c>
      <c r="D40" s="6" t="s">
        <v>132</v>
      </c>
      <c r="E40" s="6"/>
      <c r="F40" s="3" t="n">
        <v>3</v>
      </c>
      <c r="G40" s="3" t="n">
        <v>2</v>
      </c>
      <c r="H40" s="3" t="n">
        <f aca="false">F40+G40</f>
        <v>5</v>
      </c>
      <c r="I40" s="7"/>
      <c r="J40" s="5" t="n">
        <f aca="false">IF(B40="","",Параметри!$B$4*(F40*INDEX(Параметри!$C$9:$C$12,B40)+G40*INDEX(Параметри!$D$9:$D$12,B40)))</f>
        <v>100</v>
      </c>
      <c r="K40" s="3" t="str">
        <f aca="false">IF(OR(I40="",J40=""),"",I40-J40)</f>
        <v/>
      </c>
      <c r="L40" s="4"/>
    </row>
    <row r="41" customFormat="false" ht="23.85" hidden="false" customHeight="false" outlineLevel="0" collapsed="false">
      <c r="A41" s="3" t="n">
        <v>79</v>
      </c>
      <c r="B41" s="5" t="n">
        <f aca="false">IFERROR(VLOOKUP(A41,Групи!$A$2:$E$26,5,FALSE()),"")</f>
        <v>4</v>
      </c>
      <c r="C41" s="4" t="s">
        <v>133</v>
      </c>
      <c r="D41" s="6" t="s">
        <v>134</v>
      </c>
      <c r="E41" s="6"/>
      <c r="F41" s="3" t="n">
        <v>1</v>
      </c>
      <c r="G41" s="3" t="n">
        <v>2</v>
      </c>
      <c r="H41" s="3" t="n">
        <f aca="false">F41+G41</f>
        <v>3</v>
      </c>
      <c r="I41" s="7"/>
      <c r="J41" s="5" t="n">
        <f aca="false">IF(B41="","",Параметри!$B$4*(F41*INDEX(Параметри!$C$9:$C$12,B41)+G41*INDEX(Параметри!$D$9:$D$12,B41)))</f>
        <v>60</v>
      </c>
      <c r="K41" s="3" t="str">
        <f aca="false">IF(OR(I41="",J41=""),"",I41-J41)</f>
        <v/>
      </c>
      <c r="L41" s="4"/>
    </row>
    <row r="42" customFormat="false" ht="15" hidden="false" customHeight="false" outlineLevel="0" collapsed="false">
      <c r="A42" s="3" t="n">
        <v>79</v>
      </c>
      <c r="B42" s="5" t="n">
        <f aca="false">IFERROR(VLOOKUP(A42,Групи!$A$2:$E$26,5,FALSE()),"")</f>
        <v>4</v>
      </c>
      <c r="C42" s="4" t="s">
        <v>98</v>
      </c>
      <c r="D42" s="6" t="s">
        <v>135</v>
      </c>
      <c r="E42" s="6"/>
      <c r="F42" s="3" t="n">
        <v>0</v>
      </c>
      <c r="G42" s="3" t="n">
        <v>1</v>
      </c>
      <c r="H42" s="3" t="n">
        <f aca="false">F42+G42</f>
        <v>1</v>
      </c>
      <c r="I42" s="7"/>
      <c r="J42" s="5" t="n">
        <f aca="false">IF(B42="","",Параметри!$B$4*(F42*INDEX(Параметри!$C$9:$C$12,B42)+G42*INDEX(Параметри!$D$9:$D$12,B42)))</f>
        <v>20</v>
      </c>
      <c r="K42" s="3" t="str">
        <f aca="false">IF(OR(I42="",J42=""),"",I42-J42)</f>
        <v/>
      </c>
      <c r="L42" s="4"/>
    </row>
    <row r="43" customFormat="false" ht="15" hidden="false" customHeight="false" outlineLevel="0" collapsed="false">
      <c r="A43" s="3" t="n">
        <v>79</v>
      </c>
      <c r="B43" s="5" t="n">
        <f aca="false">IFERROR(VLOOKUP(A43,Групи!$A$2:$E$26,5,FALSE()),"")</f>
        <v>4</v>
      </c>
      <c r="C43" s="4" t="s">
        <v>136</v>
      </c>
      <c r="D43" s="6" t="s">
        <v>135</v>
      </c>
      <c r="E43" s="6"/>
      <c r="F43" s="3" t="n">
        <v>3</v>
      </c>
      <c r="G43" s="3" t="n">
        <v>1</v>
      </c>
      <c r="H43" s="3" t="n">
        <f aca="false">F43+G43</f>
        <v>4</v>
      </c>
      <c r="I43" s="7"/>
      <c r="J43" s="5" t="n">
        <f aca="false">IF(B43="","",Параметри!$B$4*(F43*INDEX(Параметри!$C$9:$C$12,B43)+G43*INDEX(Параметри!$D$9:$D$12,B43)))</f>
        <v>80</v>
      </c>
      <c r="K43" s="3" t="str">
        <f aca="false">IF(OR(I43="",J43=""),"",I43-J43)</f>
        <v/>
      </c>
      <c r="L43" s="4"/>
    </row>
    <row r="44" customFormat="false" ht="15" hidden="false" customHeight="false" outlineLevel="0" collapsed="false">
      <c r="A44" s="3" t="n">
        <v>79</v>
      </c>
      <c r="B44" s="5" t="n">
        <f aca="false">IFERROR(VLOOKUP(A44,Групи!$A$2:$E$26,5,FALSE()),"")</f>
        <v>4</v>
      </c>
      <c r="C44" s="4" t="s">
        <v>137</v>
      </c>
      <c r="D44" s="6" t="s">
        <v>138</v>
      </c>
      <c r="E44" s="6"/>
      <c r="F44" s="3" t="n">
        <v>2</v>
      </c>
      <c r="G44" s="3" t="n">
        <v>2</v>
      </c>
      <c r="H44" s="3" t="n">
        <f aca="false">F44+G44</f>
        <v>4</v>
      </c>
      <c r="I44" s="7"/>
      <c r="J44" s="5" t="n">
        <f aca="false">IF(B44="","",Параметри!$B$4*(F44*INDEX(Параметри!$C$9:$C$12,B44)+G44*INDEX(Параметри!$D$9:$D$12,B44)))</f>
        <v>80</v>
      </c>
      <c r="K44" s="3" t="str">
        <f aca="false">IF(OR(I44="",J44=""),"",I44-J44)</f>
        <v/>
      </c>
      <c r="L44" s="4"/>
    </row>
    <row r="45" customFormat="false" ht="15" hidden="false" customHeight="false" outlineLevel="0" collapsed="false">
      <c r="A45" s="3" t="n">
        <v>79</v>
      </c>
      <c r="B45" s="5" t="n">
        <f aca="false">IFERROR(VLOOKUP(A45,Групи!$A$2:$E$26,5,FALSE()),"")</f>
        <v>4</v>
      </c>
      <c r="C45" s="4" t="s">
        <v>139</v>
      </c>
      <c r="D45" s="6" t="s">
        <v>140</v>
      </c>
      <c r="E45" s="6"/>
      <c r="F45" s="3" t="n">
        <v>2</v>
      </c>
      <c r="G45" s="3" t="n">
        <v>3</v>
      </c>
      <c r="H45" s="3" t="n">
        <f aca="false">F45+G45</f>
        <v>5</v>
      </c>
      <c r="I45" s="7"/>
      <c r="J45" s="5" t="n">
        <f aca="false">IF(B45="","",Параметри!$B$4*(F45*INDEX(Параметри!$C$9:$C$12,B45)+G45*INDEX(Параметри!$D$9:$D$12,B45)))</f>
        <v>100</v>
      </c>
      <c r="K45" s="3" t="str">
        <f aca="false">IF(OR(I45="",J45=""),"",I45-J45)</f>
        <v/>
      </c>
      <c r="L45" s="4"/>
    </row>
    <row r="46" customFormat="false" ht="15" hidden="false" customHeight="false" outlineLevel="0" collapsed="false">
      <c r="A46" s="3" t="n">
        <v>79</v>
      </c>
      <c r="B46" s="5" t="n">
        <f aca="false">IFERROR(VLOOKUP(A46,Групи!$A$2:$E$26,5,FALSE()),"")</f>
        <v>4</v>
      </c>
      <c r="C46" s="4" t="s">
        <v>141</v>
      </c>
      <c r="D46" s="6" t="s">
        <v>142</v>
      </c>
      <c r="E46" s="6"/>
      <c r="F46" s="3" t="n">
        <v>2</v>
      </c>
      <c r="G46" s="3" t="n">
        <v>3</v>
      </c>
      <c r="H46" s="3" t="n">
        <f aca="false">F46+G46</f>
        <v>5</v>
      </c>
      <c r="I46" s="7"/>
      <c r="J46" s="5" t="n">
        <f aca="false">IF(B46="","",Параметри!$B$4*(F46*INDEX(Параметри!$C$9:$C$12,B46)+G46*INDEX(Параметри!$D$9:$D$12,B46)))</f>
        <v>100</v>
      </c>
      <c r="K46" s="3" t="str">
        <f aca="false">IF(OR(I46="",J46=""),"",I46-J46)</f>
        <v/>
      </c>
      <c r="L46" s="4"/>
    </row>
    <row r="47" customFormat="false" ht="15" hidden="false" customHeight="false" outlineLevel="0" collapsed="false">
      <c r="A47" s="3" t="n">
        <v>79</v>
      </c>
      <c r="B47" s="5" t="n">
        <f aca="false">IFERROR(VLOOKUP(A47,Групи!$A$2:$E$26,5,FALSE()),"")</f>
        <v>4</v>
      </c>
      <c r="C47" s="4" t="s">
        <v>105</v>
      </c>
      <c r="D47" s="6" t="s">
        <v>106</v>
      </c>
      <c r="E47" s="6"/>
      <c r="F47" s="3" t="n">
        <v>2</v>
      </c>
      <c r="G47" s="3" t="n">
        <v>1</v>
      </c>
      <c r="H47" s="3" t="n">
        <f aca="false">F47+G47</f>
        <v>3</v>
      </c>
      <c r="I47" s="7"/>
      <c r="J47" s="5" t="n">
        <f aca="false">IF(B47="","",Параметри!$B$4*(F47*INDEX(Параметри!$C$9:$C$12,B47)+G47*INDEX(Параметри!$D$9:$D$12,B47)))</f>
        <v>60</v>
      </c>
      <c r="K47" s="3" t="str">
        <f aca="false">IF(OR(I47="",J47=""),"",I47-J47)</f>
        <v/>
      </c>
      <c r="L47" s="4"/>
    </row>
    <row r="48" customFormat="false" ht="15" hidden="false" customHeight="false" outlineLevel="0" collapsed="false">
      <c r="A48" s="3" t="n">
        <v>80</v>
      </c>
      <c r="B48" s="5" t="n">
        <f aca="false">IFERROR(VLOOKUP(A48,Групи!$A$2:$E$26,5,FALSE()),"")</f>
        <v>4</v>
      </c>
      <c r="C48" s="4" t="s">
        <v>90</v>
      </c>
      <c r="D48" s="6" t="s">
        <v>119</v>
      </c>
      <c r="E48" s="6" t="s">
        <v>107</v>
      </c>
      <c r="F48" s="3" t="n">
        <v>1</v>
      </c>
      <c r="G48" s="3" t="n">
        <v>1</v>
      </c>
      <c r="H48" s="3" t="n">
        <f aca="false">F48+G48</f>
        <v>2</v>
      </c>
      <c r="I48" s="7"/>
      <c r="J48" s="5" t="n">
        <f aca="false">IF(B48="","",Параметри!$B$4*(F48*INDEX(Параметри!$C$9:$C$12,B48)+G48*INDEX(Параметри!$D$9:$D$12,B48)))</f>
        <v>40</v>
      </c>
      <c r="K48" s="3" t="str">
        <f aca="false">IF(OR(I48="",J48=""),"",I48-J48)</f>
        <v/>
      </c>
      <c r="L48" s="4" t="s">
        <v>129</v>
      </c>
    </row>
    <row r="49" customFormat="false" ht="15" hidden="false" customHeight="false" outlineLevel="0" collapsed="false">
      <c r="A49" s="3" t="n">
        <v>80</v>
      </c>
      <c r="B49" s="5" t="n">
        <f aca="false">IFERROR(VLOOKUP(A49,Групи!$A$2:$E$26,5,FALSE()),"")</f>
        <v>4</v>
      </c>
      <c r="C49" s="4" t="s">
        <v>94</v>
      </c>
      <c r="D49" s="6" t="s">
        <v>143</v>
      </c>
      <c r="E49" s="6"/>
      <c r="F49" s="3" t="n">
        <v>1</v>
      </c>
      <c r="G49" s="3" t="n">
        <v>1</v>
      </c>
      <c r="H49" s="3" t="n">
        <f aca="false">F49+G49</f>
        <v>2</v>
      </c>
      <c r="I49" s="7"/>
      <c r="J49" s="5" t="n">
        <f aca="false">IF(B49="","",Параметри!$B$4*(F49*INDEX(Параметри!$C$9:$C$12,B49)+G49*INDEX(Параметри!$D$9:$D$12,B49)))</f>
        <v>40</v>
      </c>
      <c r="K49" s="3" t="str">
        <f aca="false">IF(OR(I49="",J49=""),"",I49-J49)</f>
        <v/>
      </c>
      <c r="L49" s="4" t="s">
        <v>95</v>
      </c>
    </row>
    <row r="50" customFormat="false" ht="15" hidden="false" customHeight="false" outlineLevel="0" collapsed="false">
      <c r="A50" s="3" t="n">
        <v>80</v>
      </c>
      <c r="B50" s="5" t="n">
        <f aca="false">IFERROR(VLOOKUP(A50,Групи!$A$2:$E$26,5,FALSE()),"")</f>
        <v>4</v>
      </c>
      <c r="C50" s="4" t="s">
        <v>131</v>
      </c>
      <c r="D50" s="6" t="s">
        <v>132</v>
      </c>
      <c r="E50" s="6"/>
      <c r="F50" s="3" t="n">
        <v>3</v>
      </c>
      <c r="G50" s="3" t="n">
        <v>2</v>
      </c>
      <c r="H50" s="3" t="n">
        <f aca="false">F50+G50</f>
        <v>5</v>
      </c>
      <c r="I50" s="7"/>
      <c r="J50" s="5" t="n">
        <f aca="false">IF(B50="","",Параметри!$B$4*(F50*INDEX(Параметри!$C$9:$C$12,B50)+G50*INDEX(Параметри!$D$9:$D$12,B50)))</f>
        <v>100</v>
      </c>
      <c r="K50" s="3" t="str">
        <f aca="false">IF(OR(I50="",J50=""),"",I50-J50)</f>
        <v/>
      </c>
      <c r="L50" s="4"/>
    </row>
    <row r="51" customFormat="false" ht="23.85" hidden="false" customHeight="false" outlineLevel="0" collapsed="false">
      <c r="A51" s="3" t="n">
        <v>80</v>
      </c>
      <c r="B51" s="5" t="n">
        <f aca="false">IFERROR(VLOOKUP(A51,Групи!$A$2:$E$26,5,FALSE()),"")</f>
        <v>4</v>
      </c>
      <c r="C51" s="4" t="s">
        <v>133</v>
      </c>
      <c r="D51" s="6" t="s">
        <v>134</v>
      </c>
      <c r="E51" s="6"/>
      <c r="F51" s="3" t="n">
        <v>2</v>
      </c>
      <c r="G51" s="3" t="n">
        <v>2</v>
      </c>
      <c r="H51" s="3" t="n">
        <f aca="false">F51+G51</f>
        <v>4</v>
      </c>
      <c r="I51" s="7"/>
      <c r="J51" s="5" t="n">
        <f aca="false">IF(B51="","",Параметри!$B$4*(F51*INDEX(Параметри!$C$9:$C$12,B51)+G51*INDEX(Параметри!$D$9:$D$12,B51)))</f>
        <v>80</v>
      </c>
      <c r="K51" s="3" t="str">
        <f aca="false">IF(OR(I51="",J51=""),"",I51-J51)</f>
        <v/>
      </c>
      <c r="L51" s="4"/>
    </row>
    <row r="52" customFormat="false" ht="15" hidden="false" customHeight="false" outlineLevel="0" collapsed="false">
      <c r="A52" s="3" t="n">
        <v>80</v>
      </c>
      <c r="B52" s="5" t="n">
        <f aca="false">IFERROR(VLOOKUP(A52,Групи!$A$2:$E$26,5,FALSE()),"")</f>
        <v>4</v>
      </c>
      <c r="C52" s="4" t="s">
        <v>136</v>
      </c>
      <c r="D52" s="6" t="s">
        <v>135</v>
      </c>
      <c r="E52" s="6"/>
      <c r="F52" s="3" t="n">
        <v>1</v>
      </c>
      <c r="G52" s="3" t="n">
        <v>3</v>
      </c>
      <c r="H52" s="3" t="n">
        <f aca="false">F52+G52</f>
        <v>4</v>
      </c>
      <c r="I52" s="7"/>
      <c r="J52" s="5" t="n">
        <f aca="false">IF(B52="","",Параметри!$B$4*(F52*INDEX(Параметри!$C$9:$C$12,B52)+G52*INDEX(Параметри!$D$9:$D$12,B52)))</f>
        <v>80</v>
      </c>
      <c r="K52" s="3" t="str">
        <f aca="false">IF(OR(I52="",J52=""),"",I52-J52)</f>
        <v/>
      </c>
      <c r="L52" s="4"/>
    </row>
    <row r="53" customFormat="false" ht="15" hidden="false" customHeight="false" outlineLevel="0" collapsed="false">
      <c r="A53" s="3" t="n">
        <v>80</v>
      </c>
      <c r="B53" s="5" t="n">
        <f aca="false">IFERROR(VLOOKUP(A53,Групи!$A$2:$E$26,5,FALSE()),"")</f>
        <v>4</v>
      </c>
      <c r="C53" s="4" t="s">
        <v>137</v>
      </c>
      <c r="D53" s="6" t="s">
        <v>138</v>
      </c>
      <c r="E53" s="6"/>
      <c r="F53" s="3" t="n">
        <v>2</v>
      </c>
      <c r="G53" s="3" t="n">
        <v>2</v>
      </c>
      <c r="H53" s="3" t="n">
        <f aca="false">F53+G53</f>
        <v>4</v>
      </c>
      <c r="I53" s="7"/>
      <c r="J53" s="5" t="n">
        <f aca="false">IF(B53="","",Параметри!$B$4*(F53*INDEX(Параметри!$C$9:$C$12,B53)+G53*INDEX(Параметри!$D$9:$D$12,B53)))</f>
        <v>80</v>
      </c>
      <c r="K53" s="3" t="str">
        <f aca="false">IF(OR(I53="",J53=""),"",I53-J53)</f>
        <v/>
      </c>
      <c r="L53" s="4"/>
    </row>
    <row r="54" customFormat="false" ht="15" hidden="false" customHeight="false" outlineLevel="0" collapsed="false">
      <c r="A54" s="3" t="n">
        <v>80</v>
      </c>
      <c r="B54" s="5" t="n">
        <f aca="false">IFERROR(VLOOKUP(A54,Групи!$A$2:$E$26,5,FALSE()),"")</f>
        <v>4</v>
      </c>
      <c r="C54" s="4" t="s">
        <v>139</v>
      </c>
      <c r="D54" s="6" t="s">
        <v>140</v>
      </c>
      <c r="E54" s="6"/>
      <c r="F54" s="3" t="n">
        <v>3</v>
      </c>
      <c r="G54" s="3" t="n">
        <v>2</v>
      </c>
      <c r="H54" s="3" t="n">
        <f aca="false">F54+G54</f>
        <v>5</v>
      </c>
      <c r="I54" s="7"/>
      <c r="J54" s="5" t="n">
        <f aca="false">IF(B54="","",Параметри!$B$4*(F54*INDEX(Параметри!$C$9:$C$12,B54)+G54*INDEX(Параметри!$D$9:$D$12,B54)))</f>
        <v>100</v>
      </c>
      <c r="K54" s="3" t="str">
        <f aca="false">IF(OR(I54="",J54=""),"",I54-J54)</f>
        <v/>
      </c>
      <c r="L54" s="4"/>
    </row>
    <row r="55" customFormat="false" ht="15" hidden="false" customHeight="false" outlineLevel="0" collapsed="false">
      <c r="A55" s="3" t="n">
        <v>80</v>
      </c>
      <c r="B55" s="5" t="n">
        <f aca="false">IFERROR(VLOOKUP(A55,Групи!$A$2:$E$26,5,FALSE()),"")</f>
        <v>4</v>
      </c>
      <c r="C55" s="4" t="s">
        <v>144</v>
      </c>
      <c r="D55" s="6" t="s">
        <v>145</v>
      </c>
      <c r="E55" s="6"/>
      <c r="F55" s="3" t="n">
        <v>1</v>
      </c>
      <c r="G55" s="3" t="n">
        <v>0</v>
      </c>
      <c r="H55" s="3" t="n">
        <f aca="false">F55+G55</f>
        <v>1</v>
      </c>
      <c r="I55" s="7"/>
      <c r="J55" s="5" t="n">
        <f aca="false">IF(B55="","",Параметри!$B$4*(F55*INDEX(Параметри!$C$9:$C$12,B55)+G55*INDEX(Параметри!$D$9:$D$12,B55)))</f>
        <v>20</v>
      </c>
      <c r="K55" s="3" t="str">
        <f aca="false">IF(OR(I55="",J55=""),"",I55-J55)</f>
        <v/>
      </c>
      <c r="L55" s="4" t="s">
        <v>146</v>
      </c>
    </row>
    <row r="56" customFormat="false" ht="15" hidden="false" customHeight="false" outlineLevel="0" collapsed="false">
      <c r="A56" s="3" t="n">
        <v>80</v>
      </c>
      <c r="B56" s="5" t="n">
        <f aca="false">IFERROR(VLOOKUP(A56,Групи!$A$2:$E$26,5,FALSE()),"")</f>
        <v>4</v>
      </c>
      <c r="C56" s="4" t="s">
        <v>141</v>
      </c>
      <c r="D56" s="6" t="s">
        <v>142</v>
      </c>
      <c r="E56" s="6"/>
      <c r="F56" s="3" t="n">
        <v>2</v>
      </c>
      <c r="G56" s="3" t="n">
        <v>3</v>
      </c>
      <c r="H56" s="3" t="n">
        <f aca="false">F56+G56</f>
        <v>5</v>
      </c>
      <c r="I56" s="7"/>
      <c r="J56" s="5" t="n">
        <f aca="false">IF(B56="","",Параметри!$B$4*(F56*INDEX(Параметри!$C$9:$C$12,B56)+G56*INDEX(Параметри!$D$9:$D$12,B56)))</f>
        <v>100</v>
      </c>
      <c r="K56" s="3" t="str">
        <f aca="false">IF(OR(I56="",J56=""),"",I56-J56)</f>
        <v/>
      </c>
      <c r="L56" s="4"/>
    </row>
    <row r="57" customFormat="false" ht="15" hidden="false" customHeight="false" outlineLevel="0" collapsed="false">
      <c r="A57" s="3" t="n">
        <v>80</v>
      </c>
      <c r="B57" s="5" t="n">
        <f aca="false">IFERROR(VLOOKUP(A57,Групи!$A$2:$E$26,5,FALSE()),"")</f>
        <v>4</v>
      </c>
      <c r="C57" s="4" t="s">
        <v>105</v>
      </c>
      <c r="D57" s="6" t="s">
        <v>147</v>
      </c>
      <c r="E57" s="6"/>
      <c r="F57" s="3" t="n">
        <v>1</v>
      </c>
      <c r="G57" s="3" t="n">
        <v>1</v>
      </c>
      <c r="H57" s="3" t="n">
        <f aca="false">F57+G57</f>
        <v>2</v>
      </c>
      <c r="I57" s="7"/>
      <c r="J57" s="5" t="n">
        <f aca="false">IF(B57="","",Параметри!$B$4*(F57*INDEX(Параметри!$C$9:$C$12,B57)+G57*INDEX(Параметри!$D$9:$D$12,B57)))</f>
        <v>40</v>
      </c>
      <c r="K57" s="3" t="str">
        <f aca="false">IF(OR(I57="",J57=""),"",I57-J57)</f>
        <v/>
      </c>
      <c r="L57" s="4"/>
    </row>
    <row r="58" customFormat="false" ht="15" hidden="false" customHeight="false" outlineLevel="0" collapsed="false">
      <c r="A58" s="3" t="n">
        <v>81</v>
      </c>
      <c r="B58" s="5" t="n">
        <f aca="false">IFERROR(VLOOKUP(A58,Групи!$A$2:$E$26,5,FALSE()),"")</f>
        <v>3</v>
      </c>
      <c r="C58" s="4" t="s">
        <v>90</v>
      </c>
      <c r="D58" s="6" t="s">
        <v>91</v>
      </c>
      <c r="E58" s="6" t="s">
        <v>119</v>
      </c>
      <c r="F58" s="3" t="n">
        <v>1</v>
      </c>
      <c r="G58" s="3" t="n">
        <v>1</v>
      </c>
      <c r="H58" s="3" t="n">
        <f aca="false">F58+G58</f>
        <v>2</v>
      </c>
      <c r="I58" s="7"/>
      <c r="J58" s="5" t="n">
        <f aca="false">IF(B58="","",Параметри!$B$4*(F58*INDEX(Параметри!$C$9:$C$12,B58)+G58*INDEX(Параметри!$D$9:$D$12,B58)))</f>
        <v>34</v>
      </c>
      <c r="K58" s="3" t="str">
        <f aca="false">IF(OR(I58="",J58=""),"",I58-J58)</f>
        <v/>
      </c>
      <c r="L58" s="4" t="s">
        <v>129</v>
      </c>
    </row>
    <row r="59" customFormat="false" ht="15" hidden="false" customHeight="false" outlineLevel="0" collapsed="false">
      <c r="A59" s="3" t="n">
        <v>81</v>
      </c>
      <c r="B59" s="5" t="n">
        <f aca="false">IFERROR(VLOOKUP(A59,Групи!$A$2:$E$26,5,FALSE()),"")</f>
        <v>3</v>
      </c>
      <c r="C59" s="4" t="s">
        <v>148</v>
      </c>
      <c r="D59" s="6" t="s">
        <v>110</v>
      </c>
      <c r="E59" s="6"/>
      <c r="F59" s="3" t="n">
        <v>2</v>
      </c>
      <c r="G59" s="3" t="n">
        <v>3</v>
      </c>
      <c r="H59" s="3" t="n">
        <f aca="false">F59+G59</f>
        <v>5</v>
      </c>
      <c r="I59" s="7"/>
      <c r="J59" s="5" t="n">
        <f aca="false">IF(B59="","",Параметри!$B$4*(F59*INDEX(Параметри!$C$9:$C$12,B59)+G59*INDEX(Параметри!$D$9:$D$12,B59)))</f>
        <v>84</v>
      </c>
      <c r="K59" s="3" t="str">
        <f aca="false">IF(OR(I59="",J59=""),"",I59-J59)</f>
        <v/>
      </c>
      <c r="L59" s="4"/>
    </row>
    <row r="60" customFormat="false" ht="15" hidden="false" customHeight="false" outlineLevel="0" collapsed="false">
      <c r="A60" s="3" t="n">
        <v>81</v>
      </c>
      <c r="B60" s="5" t="n">
        <f aca="false">IFERROR(VLOOKUP(A60,Групи!$A$2:$E$26,5,FALSE()),"")</f>
        <v>3</v>
      </c>
      <c r="C60" s="4" t="s">
        <v>94</v>
      </c>
      <c r="D60" s="6" t="s">
        <v>99</v>
      </c>
      <c r="E60" s="6"/>
      <c r="F60" s="3" t="n">
        <v>1</v>
      </c>
      <c r="G60" s="3" t="n">
        <v>1</v>
      </c>
      <c r="H60" s="3" t="n">
        <f aca="false">F60+G60</f>
        <v>2</v>
      </c>
      <c r="I60" s="7"/>
      <c r="J60" s="5" t="n">
        <f aca="false">IF(B60="","",Параметри!$B$4*(F60*INDEX(Параметри!$C$9:$C$12,B60)+G60*INDEX(Параметри!$D$9:$D$12,B60)))</f>
        <v>34</v>
      </c>
      <c r="K60" s="3" t="str">
        <f aca="false">IF(OR(I60="",J60=""),"",I60-J60)</f>
        <v/>
      </c>
      <c r="L60" s="4" t="s">
        <v>95</v>
      </c>
    </row>
    <row r="61" customFormat="false" ht="23.85" hidden="false" customHeight="false" outlineLevel="0" collapsed="false">
      <c r="A61" s="3" t="n">
        <v>81</v>
      </c>
      <c r="B61" s="5" t="n">
        <f aca="false">IFERROR(VLOOKUP(A61,Групи!$A$2:$E$26,5,FALSE()),"")</f>
        <v>3</v>
      </c>
      <c r="C61" s="4" t="s">
        <v>149</v>
      </c>
      <c r="D61" s="6" t="s">
        <v>150</v>
      </c>
      <c r="E61" s="6"/>
      <c r="F61" s="3" t="n">
        <v>2</v>
      </c>
      <c r="G61" s="3" t="n">
        <v>2</v>
      </c>
      <c r="H61" s="3" t="n">
        <f aca="false">F61+G61</f>
        <v>4</v>
      </c>
      <c r="I61" s="7"/>
      <c r="J61" s="5" t="n">
        <f aca="false">IF(B61="","",Параметри!$B$4*(F61*INDEX(Параметри!$C$9:$C$12,B61)+G61*INDEX(Параметри!$D$9:$D$12,B61)))</f>
        <v>68</v>
      </c>
      <c r="K61" s="3" t="str">
        <f aca="false">IF(OR(I61="",J61=""),"",I61-J61)</f>
        <v/>
      </c>
      <c r="L61" s="4"/>
    </row>
    <row r="62" customFormat="false" ht="23.85" hidden="false" customHeight="false" outlineLevel="0" collapsed="false">
      <c r="A62" s="3" t="n">
        <v>81</v>
      </c>
      <c r="B62" s="5" t="n">
        <f aca="false">IFERROR(VLOOKUP(A62,Групи!$A$2:$E$26,5,FALSE()),"")</f>
        <v>3</v>
      </c>
      <c r="C62" s="4" t="s">
        <v>151</v>
      </c>
      <c r="D62" s="6" t="s">
        <v>152</v>
      </c>
      <c r="E62" s="6"/>
      <c r="F62" s="3" t="n">
        <v>2</v>
      </c>
      <c r="G62" s="3" t="n">
        <v>2</v>
      </c>
      <c r="H62" s="3" t="n">
        <f aca="false">F62+G62</f>
        <v>4</v>
      </c>
      <c r="I62" s="7"/>
      <c r="J62" s="5" t="n">
        <f aca="false">IF(B62="","",Параметри!$B$4*(F62*INDEX(Параметри!$C$9:$C$12,B62)+G62*INDEX(Параметри!$D$9:$D$12,B62)))</f>
        <v>68</v>
      </c>
      <c r="K62" s="3" t="str">
        <f aca="false">IF(OR(I62="",J62=""),"",I62-J62)</f>
        <v/>
      </c>
      <c r="L62" s="4"/>
    </row>
    <row r="63" customFormat="false" ht="15" hidden="false" customHeight="false" outlineLevel="0" collapsed="false">
      <c r="A63" s="3" t="n">
        <v>81</v>
      </c>
      <c r="B63" s="5" t="n">
        <f aca="false">IFERROR(VLOOKUP(A63,Групи!$A$2:$E$26,5,FALSE()),"")</f>
        <v>3</v>
      </c>
      <c r="C63" s="4" t="s">
        <v>153</v>
      </c>
      <c r="D63" s="6" t="s">
        <v>111</v>
      </c>
      <c r="E63" s="6"/>
      <c r="F63" s="3" t="n">
        <v>3</v>
      </c>
      <c r="G63" s="3" t="n">
        <v>2</v>
      </c>
      <c r="H63" s="3" t="n">
        <f aca="false">F63+G63</f>
        <v>5</v>
      </c>
      <c r="I63" s="7"/>
      <c r="J63" s="5" t="n">
        <f aca="false">IF(B63="","",Параметри!$B$4*(F63*INDEX(Параметри!$C$9:$C$12,B63)+G63*INDEX(Параметри!$D$9:$D$12,B63)))</f>
        <v>86</v>
      </c>
      <c r="K63" s="3" t="str">
        <f aca="false">IF(OR(I63="",J63=""),"",I63-J63)</f>
        <v/>
      </c>
      <c r="L63" s="4"/>
    </row>
    <row r="64" customFormat="false" ht="15" hidden="false" customHeight="false" outlineLevel="0" collapsed="false">
      <c r="A64" s="3" t="n">
        <v>81</v>
      </c>
      <c r="B64" s="5" t="n">
        <f aca="false">IFERROR(VLOOKUP(A64,Групи!$A$2:$E$26,5,FALSE()),"")</f>
        <v>3</v>
      </c>
      <c r="C64" s="4" t="s">
        <v>154</v>
      </c>
      <c r="D64" s="6" t="s">
        <v>132</v>
      </c>
      <c r="E64" s="6"/>
      <c r="F64" s="3" t="n">
        <v>3</v>
      </c>
      <c r="G64" s="3" t="n">
        <v>3</v>
      </c>
      <c r="H64" s="3" t="n">
        <f aca="false">F64+G64</f>
        <v>6</v>
      </c>
      <c r="I64" s="7"/>
      <c r="J64" s="5" t="n">
        <f aca="false">IF(B64="","",Параметри!$B$4*(F64*INDEX(Параметри!$C$9:$C$12,B64)+G64*INDEX(Параметри!$D$9:$D$12,B64)))</f>
        <v>102</v>
      </c>
      <c r="K64" s="3" t="str">
        <f aca="false">IF(OR(I64="",J64=""),"",I64-J64)</f>
        <v/>
      </c>
      <c r="L64" s="4"/>
    </row>
    <row r="65" customFormat="false" ht="15" hidden="false" customHeight="false" outlineLevel="0" collapsed="false">
      <c r="A65" s="3" t="n">
        <v>81</v>
      </c>
      <c r="B65" s="5" t="n">
        <f aca="false">IFERROR(VLOOKUP(A65,Групи!$A$2:$E$26,5,FALSE()),"")</f>
        <v>3</v>
      </c>
      <c r="C65" s="4" t="s">
        <v>155</v>
      </c>
      <c r="D65" s="6" t="s">
        <v>108</v>
      </c>
      <c r="E65" s="6"/>
      <c r="F65" s="3" t="n">
        <v>2</v>
      </c>
      <c r="G65" s="3" t="n">
        <v>2</v>
      </c>
      <c r="H65" s="3" t="n">
        <f aca="false">F65+G65</f>
        <v>4</v>
      </c>
      <c r="I65" s="7"/>
      <c r="J65" s="5" t="n">
        <f aca="false">IF(B65="","",Параметри!$B$4*(F65*INDEX(Параметри!$C$9:$C$12,B65)+G65*INDEX(Параметри!$D$9:$D$12,B65)))</f>
        <v>68</v>
      </c>
      <c r="K65" s="3" t="str">
        <f aca="false">IF(OR(I65="",J65=""),"",I65-J65)</f>
        <v/>
      </c>
      <c r="L65" s="4"/>
    </row>
    <row r="66" customFormat="false" ht="15" hidden="false" customHeight="false" outlineLevel="0" collapsed="false">
      <c r="A66" s="3" t="n">
        <v>81</v>
      </c>
      <c r="B66" s="5" t="n">
        <f aca="false">IFERROR(VLOOKUP(A66,Групи!$A$2:$E$26,5,FALSE()),"")</f>
        <v>3</v>
      </c>
      <c r="C66" s="4" t="s">
        <v>105</v>
      </c>
      <c r="D66" s="6" t="s">
        <v>147</v>
      </c>
      <c r="E66" s="6"/>
      <c r="F66" s="3" t="n">
        <v>1</v>
      </c>
      <c r="G66" s="3" t="n">
        <v>1</v>
      </c>
      <c r="H66" s="3" t="n">
        <f aca="false">F66+G66</f>
        <v>2</v>
      </c>
      <c r="I66" s="7"/>
      <c r="J66" s="5" t="n">
        <f aca="false">IF(B66="","",Параметри!$B$4*(F66*INDEX(Параметри!$C$9:$C$12,B66)+G66*INDEX(Параметри!$D$9:$D$12,B66)))</f>
        <v>34</v>
      </c>
      <c r="K66" s="3" t="str">
        <f aca="false">IF(OR(I66="",J66=""),"",I66-J66)</f>
        <v/>
      </c>
      <c r="L66" s="4"/>
    </row>
    <row r="67" customFormat="false" ht="15" hidden="false" customHeight="false" outlineLevel="0" collapsed="false">
      <c r="A67" s="3" t="n">
        <v>82</v>
      </c>
      <c r="B67" s="5" t="n">
        <f aca="false">IFERROR(VLOOKUP(A67,Групи!$A$2:$E$26,5,FALSE()),"")</f>
        <v>3</v>
      </c>
      <c r="C67" s="4" t="s">
        <v>90</v>
      </c>
      <c r="D67" s="6" t="s">
        <v>91</v>
      </c>
      <c r="E67" s="6" t="s">
        <v>119</v>
      </c>
      <c r="F67" s="3" t="n">
        <v>1</v>
      </c>
      <c r="G67" s="3" t="n">
        <v>1</v>
      </c>
      <c r="H67" s="3" t="n">
        <f aca="false">F67+G67</f>
        <v>2</v>
      </c>
      <c r="I67" s="7"/>
      <c r="J67" s="5" t="n">
        <f aca="false">IF(B67="","",Параметри!$B$4*(F67*INDEX(Параметри!$C$9:$C$12,B67)+G67*INDEX(Параметри!$D$9:$D$12,B67)))</f>
        <v>34</v>
      </c>
      <c r="K67" s="3" t="str">
        <f aca="false">IF(OR(I67="",J67=""),"",I67-J67)</f>
        <v/>
      </c>
      <c r="L67" s="4" t="s">
        <v>129</v>
      </c>
    </row>
    <row r="68" customFormat="false" ht="15" hidden="false" customHeight="false" outlineLevel="0" collapsed="false">
      <c r="A68" s="3" t="n">
        <v>82</v>
      </c>
      <c r="B68" s="5" t="n">
        <f aca="false">IFERROR(VLOOKUP(A68,Групи!$A$2:$E$26,5,FALSE()),"")</f>
        <v>3</v>
      </c>
      <c r="C68" s="4" t="s">
        <v>148</v>
      </c>
      <c r="D68" s="6" t="s">
        <v>110</v>
      </c>
      <c r="E68" s="6"/>
      <c r="F68" s="3" t="n">
        <v>3</v>
      </c>
      <c r="G68" s="3" t="n">
        <v>3</v>
      </c>
      <c r="H68" s="3" t="n">
        <f aca="false">F68+G68</f>
        <v>6</v>
      </c>
      <c r="I68" s="7"/>
      <c r="J68" s="5" t="n">
        <f aca="false">IF(B68="","",Параметри!$B$4*(F68*INDEX(Параметри!$C$9:$C$12,B68)+G68*INDEX(Параметри!$D$9:$D$12,B68)))</f>
        <v>102</v>
      </c>
      <c r="K68" s="3" t="str">
        <f aca="false">IF(OR(I68="",J68=""),"",I68-J68)</f>
        <v/>
      </c>
      <c r="L68" s="4"/>
    </row>
    <row r="69" customFormat="false" ht="15" hidden="false" customHeight="false" outlineLevel="0" collapsed="false">
      <c r="A69" s="3" t="n">
        <v>82</v>
      </c>
      <c r="B69" s="5" t="n">
        <f aca="false">IFERROR(VLOOKUP(A69,Групи!$A$2:$E$26,5,FALSE()),"")</f>
        <v>3</v>
      </c>
      <c r="C69" s="4" t="s">
        <v>94</v>
      </c>
      <c r="D69" s="6" t="s">
        <v>156</v>
      </c>
      <c r="E69" s="6"/>
      <c r="F69" s="3" t="n">
        <v>1</v>
      </c>
      <c r="G69" s="3" t="n">
        <v>1</v>
      </c>
      <c r="H69" s="3" t="n">
        <f aca="false">F69+G69</f>
        <v>2</v>
      </c>
      <c r="I69" s="7"/>
      <c r="J69" s="5" t="n">
        <f aca="false">IF(B69="","",Параметри!$B$4*(F69*INDEX(Параметри!$C$9:$C$12,B69)+G69*INDEX(Параметри!$D$9:$D$12,B69)))</f>
        <v>34</v>
      </c>
      <c r="K69" s="3" t="str">
        <f aca="false">IF(OR(I69="",J69=""),"",I69-J69)</f>
        <v/>
      </c>
      <c r="L69" s="4" t="s">
        <v>95</v>
      </c>
    </row>
    <row r="70" customFormat="false" ht="23.85" hidden="false" customHeight="false" outlineLevel="0" collapsed="false">
      <c r="A70" s="3" t="n">
        <v>82</v>
      </c>
      <c r="B70" s="5" t="n">
        <f aca="false">IFERROR(VLOOKUP(A70,Групи!$A$2:$E$26,5,FALSE()),"")</f>
        <v>3</v>
      </c>
      <c r="C70" s="4" t="s">
        <v>149</v>
      </c>
      <c r="D70" s="6" t="s">
        <v>150</v>
      </c>
      <c r="E70" s="6"/>
      <c r="F70" s="3" t="n">
        <v>2</v>
      </c>
      <c r="G70" s="3" t="n">
        <v>2</v>
      </c>
      <c r="H70" s="3" t="n">
        <f aca="false">F70+G70</f>
        <v>4</v>
      </c>
      <c r="I70" s="7"/>
      <c r="J70" s="5" t="n">
        <f aca="false">IF(B70="","",Параметри!$B$4*(F70*INDEX(Параметри!$C$9:$C$12,B70)+G70*INDEX(Параметри!$D$9:$D$12,B70)))</f>
        <v>68</v>
      </c>
      <c r="K70" s="3" t="str">
        <f aca="false">IF(OR(I70="",J70=""),"",I70-J70)</f>
        <v/>
      </c>
      <c r="L70" s="4"/>
    </row>
    <row r="71" customFormat="false" ht="23.85" hidden="false" customHeight="false" outlineLevel="0" collapsed="false">
      <c r="A71" s="3" t="n">
        <v>82</v>
      </c>
      <c r="B71" s="5" t="n">
        <f aca="false">IFERROR(VLOOKUP(A71,Групи!$A$2:$E$26,5,FALSE()),"")</f>
        <v>3</v>
      </c>
      <c r="C71" s="4" t="s">
        <v>151</v>
      </c>
      <c r="D71" s="6" t="s">
        <v>135</v>
      </c>
      <c r="E71" s="6"/>
      <c r="F71" s="3" t="n">
        <v>2</v>
      </c>
      <c r="G71" s="3" t="n">
        <v>3</v>
      </c>
      <c r="H71" s="3" t="n">
        <f aca="false">F71+G71</f>
        <v>5</v>
      </c>
      <c r="I71" s="7"/>
      <c r="J71" s="5" t="n">
        <f aca="false">IF(B71="","",Параметри!$B$4*(F71*INDEX(Параметри!$C$9:$C$12,B71)+G71*INDEX(Параметри!$D$9:$D$12,B71)))</f>
        <v>84</v>
      </c>
      <c r="K71" s="3" t="str">
        <f aca="false">IF(OR(I71="",J71=""),"",I71-J71)</f>
        <v/>
      </c>
      <c r="L71" s="4"/>
    </row>
    <row r="72" customFormat="false" ht="15" hidden="false" customHeight="false" outlineLevel="0" collapsed="false">
      <c r="A72" s="3" t="n">
        <v>82</v>
      </c>
      <c r="B72" s="5" t="n">
        <f aca="false">IFERROR(VLOOKUP(A72,Групи!$A$2:$E$26,5,FALSE()),"")</f>
        <v>3</v>
      </c>
      <c r="C72" s="4" t="s">
        <v>153</v>
      </c>
      <c r="D72" s="6" t="s">
        <v>111</v>
      </c>
      <c r="E72" s="6"/>
      <c r="F72" s="3" t="n">
        <v>3</v>
      </c>
      <c r="G72" s="3" t="n">
        <v>2</v>
      </c>
      <c r="H72" s="3" t="n">
        <f aca="false">F72+G72</f>
        <v>5</v>
      </c>
      <c r="I72" s="7"/>
      <c r="J72" s="5" t="n">
        <f aca="false">IF(B72="","",Параметри!$B$4*(F72*INDEX(Параметри!$C$9:$C$12,B72)+G72*INDEX(Параметри!$D$9:$D$12,B72)))</f>
        <v>86</v>
      </c>
      <c r="K72" s="3" t="str">
        <f aca="false">IF(OR(I72="",J72=""),"",I72-J72)</f>
        <v/>
      </c>
      <c r="L72" s="4"/>
    </row>
    <row r="73" customFormat="false" ht="15" hidden="false" customHeight="false" outlineLevel="0" collapsed="false">
      <c r="A73" s="3" t="n">
        <v>82</v>
      </c>
      <c r="B73" s="5" t="n">
        <f aca="false">IFERROR(VLOOKUP(A73,Групи!$A$2:$E$26,5,FALSE()),"")</f>
        <v>3</v>
      </c>
      <c r="C73" s="4" t="s">
        <v>154</v>
      </c>
      <c r="D73" s="6" t="s">
        <v>132</v>
      </c>
      <c r="E73" s="6"/>
      <c r="F73" s="3" t="n">
        <v>2</v>
      </c>
      <c r="G73" s="3" t="n">
        <v>2</v>
      </c>
      <c r="H73" s="3" t="n">
        <f aca="false">F73+G73</f>
        <v>4</v>
      </c>
      <c r="I73" s="7"/>
      <c r="J73" s="5" t="n">
        <f aca="false">IF(B73="","",Параметри!$B$4*(F73*INDEX(Параметри!$C$9:$C$12,B73)+G73*INDEX(Параметри!$D$9:$D$12,B73)))</f>
        <v>68</v>
      </c>
      <c r="K73" s="3" t="str">
        <f aca="false">IF(OR(I73="",J73=""),"",I73-J73)</f>
        <v/>
      </c>
      <c r="L73" s="4"/>
    </row>
    <row r="74" customFormat="false" ht="15" hidden="false" customHeight="false" outlineLevel="0" collapsed="false">
      <c r="A74" s="3" t="n">
        <v>82</v>
      </c>
      <c r="B74" s="5" t="n">
        <f aca="false">IFERROR(VLOOKUP(A74,Групи!$A$2:$E$26,5,FALSE()),"")</f>
        <v>3</v>
      </c>
      <c r="C74" s="4" t="s">
        <v>155</v>
      </c>
      <c r="D74" s="6" t="s">
        <v>108</v>
      </c>
      <c r="E74" s="6"/>
      <c r="F74" s="3" t="n">
        <v>2</v>
      </c>
      <c r="G74" s="3" t="n">
        <v>2</v>
      </c>
      <c r="H74" s="3" t="n">
        <f aca="false">F74+G74</f>
        <v>4</v>
      </c>
      <c r="I74" s="7"/>
      <c r="J74" s="5" t="n">
        <f aca="false">IF(B74="","",Параметри!$B$4*(F74*INDEX(Параметри!$C$9:$C$12,B74)+G74*INDEX(Параметри!$D$9:$D$12,B74)))</f>
        <v>68</v>
      </c>
      <c r="K74" s="3" t="str">
        <f aca="false">IF(OR(I74="",J74=""),"",I74-J74)</f>
        <v/>
      </c>
      <c r="L74" s="4"/>
    </row>
    <row r="75" customFormat="false" ht="15" hidden="false" customHeight="false" outlineLevel="0" collapsed="false">
      <c r="A75" s="3" t="n">
        <v>82</v>
      </c>
      <c r="B75" s="5" t="n">
        <f aca="false">IFERROR(VLOOKUP(A75,Групи!$A$2:$E$26,5,FALSE()),"")</f>
        <v>3</v>
      </c>
      <c r="C75" s="4" t="s">
        <v>105</v>
      </c>
      <c r="D75" s="6" t="s">
        <v>106</v>
      </c>
      <c r="E75" s="6"/>
      <c r="F75" s="3" t="n">
        <v>1</v>
      </c>
      <c r="G75" s="3" t="n">
        <v>1</v>
      </c>
      <c r="H75" s="3" t="n">
        <f aca="false">F75+G75</f>
        <v>2</v>
      </c>
      <c r="I75" s="7"/>
      <c r="J75" s="5" t="n">
        <f aca="false">IF(B75="","",Параметри!$B$4*(F75*INDEX(Параметри!$C$9:$C$12,B75)+G75*INDEX(Параметри!$D$9:$D$12,B75)))</f>
        <v>34</v>
      </c>
      <c r="K75" s="3" t="str">
        <f aca="false">IF(OR(I75="",J75=""),"",I75-J75)</f>
        <v/>
      </c>
      <c r="L75" s="4"/>
    </row>
    <row r="76" customFormat="false" ht="15" hidden="false" customHeight="false" outlineLevel="0" collapsed="false">
      <c r="A76" s="3" t="n">
        <v>83</v>
      </c>
      <c r="B76" s="5" t="n">
        <f aca="false">IFERROR(VLOOKUP(A76,Групи!$A$2:$E$26,5,FALSE()),"")</f>
        <v>3</v>
      </c>
      <c r="C76" s="4" t="s">
        <v>90</v>
      </c>
      <c r="D76" s="6" t="s">
        <v>107</v>
      </c>
      <c r="E76" s="6" t="s">
        <v>91</v>
      </c>
      <c r="F76" s="3" t="n">
        <v>1</v>
      </c>
      <c r="G76" s="3" t="n">
        <v>1</v>
      </c>
      <c r="H76" s="3" t="n">
        <f aca="false">F76+G76</f>
        <v>2</v>
      </c>
      <c r="I76" s="7"/>
      <c r="J76" s="5" t="n">
        <f aca="false">IF(B76="","",Параметри!$B$4*(F76*INDEX(Параметри!$C$9:$C$12,B76)+G76*INDEX(Параметри!$D$9:$D$12,B76)))</f>
        <v>34</v>
      </c>
      <c r="K76" s="3" t="str">
        <f aca="false">IF(OR(I76="",J76=""),"",I76-J76)</f>
        <v/>
      </c>
      <c r="L76" s="4" t="s">
        <v>129</v>
      </c>
    </row>
    <row r="77" customFormat="false" ht="15" hidden="false" customHeight="false" outlineLevel="0" collapsed="false">
      <c r="A77" s="3" t="n">
        <v>83</v>
      </c>
      <c r="B77" s="5" t="n">
        <f aca="false">IFERROR(VLOOKUP(A77,Групи!$A$2:$E$26,5,FALSE()),"")</f>
        <v>3</v>
      </c>
      <c r="C77" s="4" t="s">
        <v>94</v>
      </c>
      <c r="D77" s="6" t="s">
        <v>150</v>
      </c>
      <c r="E77" s="6"/>
      <c r="F77" s="3" t="n">
        <v>1</v>
      </c>
      <c r="G77" s="3" t="n">
        <v>1</v>
      </c>
      <c r="H77" s="3" t="n">
        <f aca="false">F77+G77</f>
        <v>2</v>
      </c>
      <c r="I77" s="7"/>
      <c r="J77" s="5" t="n">
        <f aca="false">IF(B77="","",Параметри!$B$4*(F77*INDEX(Параметри!$C$9:$C$12,B77)+G77*INDEX(Параметри!$D$9:$D$12,B77)))</f>
        <v>34</v>
      </c>
      <c r="K77" s="3" t="str">
        <f aca="false">IF(OR(I77="",J77=""),"",I77-J77)</f>
        <v/>
      </c>
      <c r="L77" s="4" t="s">
        <v>95</v>
      </c>
    </row>
    <row r="78" customFormat="false" ht="23.85" hidden="false" customHeight="false" outlineLevel="0" collapsed="false">
      <c r="A78" s="3" t="n">
        <v>83</v>
      </c>
      <c r="B78" s="5" t="n">
        <f aca="false">IFERROR(VLOOKUP(A78,Групи!$A$2:$E$26,5,FALSE()),"")</f>
        <v>3</v>
      </c>
      <c r="C78" s="4" t="s">
        <v>149</v>
      </c>
      <c r="D78" s="6" t="s">
        <v>150</v>
      </c>
      <c r="E78" s="6"/>
      <c r="F78" s="3" t="n">
        <v>3</v>
      </c>
      <c r="G78" s="3" t="n">
        <v>2</v>
      </c>
      <c r="H78" s="3" t="n">
        <f aca="false">F78+G78</f>
        <v>5</v>
      </c>
      <c r="I78" s="7"/>
      <c r="J78" s="5" t="n">
        <f aca="false">IF(B78="","",Параметри!$B$4*(F78*INDEX(Параметри!$C$9:$C$12,B78)+G78*INDEX(Параметри!$D$9:$D$12,B78)))</f>
        <v>86</v>
      </c>
      <c r="K78" s="3" t="str">
        <f aca="false">IF(OR(I78="",J78=""),"",I78-J78)</f>
        <v/>
      </c>
      <c r="L78" s="4"/>
    </row>
    <row r="79" customFormat="false" ht="23.85" hidden="false" customHeight="false" outlineLevel="0" collapsed="false">
      <c r="A79" s="3" t="n">
        <v>83</v>
      </c>
      <c r="B79" s="5" t="n">
        <f aca="false">IFERROR(VLOOKUP(A79,Групи!$A$2:$E$26,5,FALSE()),"")</f>
        <v>3</v>
      </c>
      <c r="C79" s="4" t="s">
        <v>151</v>
      </c>
      <c r="D79" s="6" t="s">
        <v>130</v>
      </c>
      <c r="E79" s="6"/>
      <c r="F79" s="3" t="n">
        <v>2</v>
      </c>
      <c r="G79" s="3" t="n">
        <v>2</v>
      </c>
      <c r="H79" s="3" t="n">
        <f aca="false">F79+G79</f>
        <v>4</v>
      </c>
      <c r="I79" s="7"/>
      <c r="J79" s="5" t="n">
        <f aca="false">IF(B79="","",Параметри!$B$4*(F79*INDEX(Параметри!$C$9:$C$12,B79)+G79*INDEX(Параметри!$D$9:$D$12,B79)))</f>
        <v>68</v>
      </c>
      <c r="K79" s="3" t="str">
        <f aca="false">IF(OR(I79="",J79=""),"",I79-J79)</f>
        <v/>
      </c>
      <c r="L79" s="4"/>
    </row>
    <row r="80" customFormat="false" ht="15" hidden="false" customHeight="false" outlineLevel="0" collapsed="false">
      <c r="A80" s="3" t="n">
        <v>83</v>
      </c>
      <c r="B80" s="5" t="n">
        <f aca="false">IFERROR(VLOOKUP(A80,Групи!$A$2:$E$26,5,FALSE()),"")</f>
        <v>3</v>
      </c>
      <c r="C80" s="4" t="s">
        <v>157</v>
      </c>
      <c r="D80" s="6" t="s">
        <v>150</v>
      </c>
      <c r="E80" s="6"/>
      <c r="F80" s="3" t="n">
        <v>2</v>
      </c>
      <c r="G80" s="3" t="n">
        <v>3</v>
      </c>
      <c r="H80" s="3" t="n">
        <f aca="false">F80+G80</f>
        <v>5</v>
      </c>
      <c r="I80" s="7"/>
      <c r="J80" s="5" t="n">
        <f aca="false">IF(B80="","",Параметри!$B$4*(F80*INDEX(Параметри!$C$9:$C$12,B80)+G80*INDEX(Параметри!$D$9:$D$12,B80)))</f>
        <v>84</v>
      </c>
      <c r="K80" s="3" t="str">
        <f aca="false">IF(OR(I80="",J80=""),"",I80-J80)</f>
        <v/>
      </c>
      <c r="L80" s="4"/>
    </row>
    <row r="81" customFormat="false" ht="15" hidden="false" customHeight="false" outlineLevel="0" collapsed="false">
      <c r="A81" s="3" t="n">
        <v>83</v>
      </c>
      <c r="B81" s="5" t="n">
        <f aca="false">IFERROR(VLOOKUP(A81,Групи!$A$2:$E$26,5,FALSE()),"")</f>
        <v>3</v>
      </c>
      <c r="C81" s="4" t="s">
        <v>153</v>
      </c>
      <c r="D81" s="6" t="s">
        <v>111</v>
      </c>
      <c r="E81" s="6"/>
      <c r="F81" s="3" t="n">
        <v>3</v>
      </c>
      <c r="G81" s="3" t="n">
        <v>2</v>
      </c>
      <c r="H81" s="3" t="n">
        <f aca="false">F81+G81</f>
        <v>5</v>
      </c>
      <c r="I81" s="7"/>
      <c r="J81" s="5" t="n">
        <f aca="false">IF(B81="","",Параметри!$B$4*(F81*INDEX(Параметри!$C$9:$C$12,B81)+G81*INDEX(Параметри!$D$9:$D$12,B81)))</f>
        <v>86</v>
      </c>
      <c r="K81" s="3" t="str">
        <f aca="false">IF(OR(I81="",J81=""),"",I81-J81)</f>
        <v/>
      </c>
      <c r="L81" s="4"/>
    </row>
    <row r="82" customFormat="false" ht="15" hidden="false" customHeight="false" outlineLevel="0" collapsed="false">
      <c r="A82" s="3" t="n">
        <v>83</v>
      </c>
      <c r="B82" s="5" t="n">
        <f aca="false">IFERROR(VLOOKUP(A82,Групи!$A$2:$E$26,5,FALSE()),"")</f>
        <v>3</v>
      </c>
      <c r="C82" s="4" t="s">
        <v>158</v>
      </c>
      <c r="D82" s="6" t="s">
        <v>159</v>
      </c>
      <c r="E82" s="6"/>
      <c r="F82" s="3" t="n">
        <v>3</v>
      </c>
      <c r="G82" s="3" t="n">
        <v>4</v>
      </c>
      <c r="H82" s="3" t="n">
        <f aca="false">F82+G82</f>
        <v>7</v>
      </c>
      <c r="I82" s="7"/>
      <c r="J82" s="5" t="n">
        <f aca="false">IF(B82="","",Параметри!$B$4*(F82*INDEX(Параметри!$C$9:$C$12,B82)+G82*INDEX(Параметри!$D$9:$D$12,B82)))</f>
        <v>118</v>
      </c>
      <c r="K82" s="3" t="str">
        <f aca="false">IF(OR(I82="",J82=""),"",I82-J82)</f>
        <v/>
      </c>
      <c r="L82" s="4"/>
    </row>
    <row r="83" customFormat="false" ht="15" hidden="false" customHeight="false" outlineLevel="0" collapsed="false">
      <c r="A83" s="3" t="n">
        <v>83</v>
      </c>
      <c r="B83" s="5" t="n">
        <f aca="false">IFERROR(VLOOKUP(A83,Групи!$A$2:$E$26,5,FALSE()),"")</f>
        <v>3</v>
      </c>
      <c r="C83" s="4" t="s">
        <v>155</v>
      </c>
      <c r="D83" s="6" t="s">
        <v>108</v>
      </c>
      <c r="E83" s="6"/>
      <c r="F83" s="3" t="n">
        <v>1</v>
      </c>
      <c r="G83" s="3" t="n">
        <v>1</v>
      </c>
      <c r="H83" s="3" t="n">
        <f aca="false">F83+G83</f>
        <v>2</v>
      </c>
      <c r="I83" s="7"/>
      <c r="J83" s="5" t="n">
        <f aca="false">IF(B83="","",Параметри!$B$4*(F83*INDEX(Параметри!$C$9:$C$12,B83)+G83*INDEX(Параметри!$D$9:$D$12,B83)))</f>
        <v>34</v>
      </c>
      <c r="K83" s="3" t="str">
        <f aca="false">IF(OR(I83="",J83=""),"",I83-J83)</f>
        <v/>
      </c>
      <c r="L83" s="4"/>
    </row>
    <row r="84" customFormat="false" ht="15" hidden="false" customHeight="false" outlineLevel="0" collapsed="false">
      <c r="A84" s="3" t="n">
        <v>83</v>
      </c>
      <c r="B84" s="5" t="n">
        <f aca="false">IFERROR(VLOOKUP(A84,Групи!$A$2:$E$26,5,FALSE()),"")</f>
        <v>3</v>
      </c>
      <c r="C84" s="4" t="s">
        <v>105</v>
      </c>
      <c r="D84" s="6" t="s">
        <v>128</v>
      </c>
      <c r="E84" s="6"/>
      <c r="F84" s="3" t="n">
        <v>1</v>
      </c>
      <c r="G84" s="3" t="n">
        <v>1</v>
      </c>
      <c r="H84" s="3" t="n">
        <f aca="false">F84+G84</f>
        <v>2</v>
      </c>
      <c r="I84" s="7"/>
      <c r="J84" s="5" t="n">
        <f aca="false">IF(B84="","",Параметри!$B$4*(F84*INDEX(Параметри!$C$9:$C$12,B84)+G84*INDEX(Параметри!$D$9:$D$12,B84)))</f>
        <v>34</v>
      </c>
      <c r="K84" s="3" t="str">
        <f aca="false">IF(OR(I84="",J84=""),"",I84-J84)</f>
        <v/>
      </c>
      <c r="L84" s="4"/>
    </row>
    <row r="85" customFormat="false" ht="15" hidden="false" customHeight="false" outlineLevel="0" collapsed="false">
      <c r="A85" s="3" t="n">
        <v>84</v>
      </c>
      <c r="B85" s="5" t="n">
        <f aca="false">IFERROR(VLOOKUP(A85,Групи!$A$2:$E$26,5,FALSE()),"")</f>
        <v>3</v>
      </c>
      <c r="C85" s="4" t="s">
        <v>90</v>
      </c>
      <c r="D85" s="6" t="s">
        <v>119</v>
      </c>
      <c r="E85" s="6"/>
      <c r="F85" s="3" t="n">
        <v>2</v>
      </c>
      <c r="G85" s="3" t="n">
        <v>1</v>
      </c>
      <c r="H85" s="3" t="n">
        <f aca="false">F85+G85</f>
        <v>3</v>
      </c>
      <c r="I85" s="7"/>
      <c r="J85" s="5" t="n">
        <f aca="false">IF(B85="","",Параметри!$B$4*(F85*INDEX(Параметри!$C$9:$C$12,B85)+G85*INDEX(Параметри!$D$9:$D$12,B85)))</f>
        <v>52</v>
      </c>
      <c r="K85" s="3" t="str">
        <f aca="false">IF(OR(I85="",J85=""),"",I85-J85)</f>
        <v/>
      </c>
      <c r="L85" s="4"/>
    </row>
    <row r="86" customFormat="false" ht="15" hidden="false" customHeight="false" outlineLevel="0" collapsed="false">
      <c r="A86" s="3" t="n">
        <v>84</v>
      </c>
      <c r="B86" s="5" t="n">
        <f aca="false">IFERROR(VLOOKUP(A86,Групи!$A$2:$E$26,5,FALSE()),"")</f>
        <v>3</v>
      </c>
      <c r="C86" s="4" t="s">
        <v>94</v>
      </c>
      <c r="D86" s="6" t="s">
        <v>160</v>
      </c>
      <c r="E86" s="6"/>
      <c r="F86" s="3" t="n">
        <v>1</v>
      </c>
      <c r="G86" s="3" t="n">
        <v>1</v>
      </c>
      <c r="H86" s="3" t="n">
        <f aca="false">F86+G86</f>
        <v>2</v>
      </c>
      <c r="I86" s="7"/>
      <c r="J86" s="5" t="n">
        <f aca="false">IF(B86="","",Параметри!$B$4*(F86*INDEX(Параметри!$C$9:$C$12,B86)+G86*INDEX(Параметри!$D$9:$D$12,B86)))</f>
        <v>34</v>
      </c>
      <c r="K86" s="3" t="str">
        <f aca="false">IF(OR(I86="",J86=""),"",I86-J86)</f>
        <v/>
      </c>
      <c r="L86" s="4" t="s">
        <v>95</v>
      </c>
    </row>
    <row r="87" customFormat="false" ht="15" hidden="false" customHeight="false" outlineLevel="0" collapsed="false">
      <c r="A87" s="3" t="n">
        <v>84</v>
      </c>
      <c r="B87" s="5" t="n">
        <f aca="false">IFERROR(VLOOKUP(A87,Групи!$A$2:$E$26,5,FALSE()),"")</f>
        <v>3</v>
      </c>
      <c r="C87" s="4" t="s">
        <v>100</v>
      </c>
      <c r="D87" s="6" t="s">
        <v>134</v>
      </c>
      <c r="E87" s="6"/>
      <c r="F87" s="3" t="n">
        <v>0</v>
      </c>
      <c r="G87" s="3" t="n">
        <v>3</v>
      </c>
      <c r="H87" s="3" t="n">
        <f aca="false">F87+G87</f>
        <v>3</v>
      </c>
      <c r="I87" s="7"/>
      <c r="J87" s="5" t="n">
        <f aca="false">IF(B87="","",Параметри!$B$4*(F87*INDEX(Параметри!$C$9:$C$12,B87)+G87*INDEX(Параметри!$D$9:$D$12,B87)))</f>
        <v>48</v>
      </c>
      <c r="K87" s="3" t="str">
        <f aca="false">IF(OR(I87="",J87=""),"",I87-J87)</f>
        <v/>
      </c>
      <c r="L87" s="4"/>
    </row>
    <row r="88" customFormat="false" ht="15" hidden="false" customHeight="false" outlineLevel="0" collapsed="false">
      <c r="A88" s="3" t="n">
        <v>84</v>
      </c>
      <c r="B88" s="5" t="n">
        <f aca="false">IFERROR(VLOOKUP(A88,Групи!$A$2:$E$26,5,FALSE()),"")</f>
        <v>3</v>
      </c>
      <c r="C88" s="4" t="s">
        <v>161</v>
      </c>
      <c r="D88" s="6" t="s">
        <v>134</v>
      </c>
      <c r="E88" s="6"/>
      <c r="F88" s="3" t="n">
        <v>2</v>
      </c>
      <c r="G88" s="3" t="n">
        <v>0</v>
      </c>
      <c r="H88" s="3" t="n">
        <f aca="false">F88+G88</f>
        <v>2</v>
      </c>
      <c r="I88" s="7"/>
      <c r="J88" s="5" t="n">
        <f aca="false">IF(B88="","",Параметри!$B$4*(F88*INDEX(Параметри!$C$9:$C$12,B88)+G88*INDEX(Параметри!$D$9:$D$12,B88)))</f>
        <v>36</v>
      </c>
      <c r="K88" s="3" t="str">
        <f aca="false">IF(OR(I88="",J88=""),"",I88-J88)</f>
        <v/>
      </c>
      <c r="L88" s="4"/>
    </row>
    <row r="89" customFormat="false" ht="23.85" hidden="false" customHeight="false" outlineLevel="0" collapsed="false">
      <c r="A89" s="3" t="n">
        <v>84</v>
      </c>
      <c r="B89" s="5" t="n">
        <f aca="false">IFERROR(VLOOKUP(A89,Групи!$A$2:$E$26,5,FALSE()),"")</f>
        <v>3</v>
      </c>
      <c r="C89" s="4" t="s">
        <v>151</v>
      </c>
      <c r="D89" s="6" t="s">
        <v>130</v>
      </c>
      <c r="E89" s="6"/>
      <c r="F89" s="3" t="n">
        <v>2</v>
      </c>
      <c r="G89" s="3" t="n">
        <v>2</v>
      </c>
      <c r="H89" s="3" t="n">
        <f aca="false">F89+G89</f>
        <v>4</v>
      </c>
      <c r="I89" s="7"/>
      <c r="J89" s="5" t="n">
        <f aca="false">IF(B89="","",Параметри!$B$4*(F89*INDEX(Параметри!$C$9:$C$12,B89)+G89*INDEX(Параметри!$D$9:$D$12,B89)))</f>
        <v>68</v>
      </c>
      <c r="K89" s="3" t="str">
        <f aca="false">IF(OR(I89="",J89=""),"",I89-J89)</f>
        <v/>
      </c>
      <c r="L89" s="4"/>
    </row>
    <row r="90" customFormat="false" ht="15" hidden="false" customHeight="false" outlineLevel="0" collapsed="false">
      <c r="A90" s="3" t="n">
        <v>84</v>
      </c>
      <c r="B90" s="5" t="n">
        <f aca="false">IFERROR(VLOOKUP(A90,Групи!$A$2:$E$26,5,FALSE()),"")</f>
        <v>3</v>
      </c>
      <c r="C90" s="4" t="s">
        <v>162</v>
      </c>
      <c r="D90" s="6" t="s">
        <v>123</v>
      </c>
      <c r="E90" s="6"/>
      <c r="F90" s="3" t="n">
        <v>3</v>
      </c>
      <c r="G90" s="3" t="n">
        <v>3</v>
      </c>
      <c r="H90" s="3" t="n">
        <f aca="false">F90+G90</f>
        <v>6</v>
      </c>
      <c r="I90" s="7"/>
      <c r="J90" s="5" t="n">
        <f aca="false">IF(B90="","",Параметри!$B$4*(F90*INDEX(Параметри!$C$9:$C$12,B90)+G90*INDEX(Параметри!$D$9:$D$12,B90)))</f>
        <v>102</v>
      </c>
      <c r="K90" s="3" t="str">
        <f aca="false">IF(OR(I90="",J90=""),"",I90-J90)</f>
        <v/>
      </c>
      <c r="L90" s="4"/>
    </row>
    <row r="91" customFormat="false" ht="15" hidden="false" customHeight="false" outlineLevel="0" collapsed="false">
      <c r="A91" s="3" t="n">
        <v>84</v>
      </c>
      <c r="B91" s="5" t="n">
        <f aca="false">IFERROR(VLOOKUP(A91,Групи!$A$2:$E$26,5,FALSE()),"")</f>
        <v>3</v>
      </c>
      <c r="C91" s="4" t="s">
        <v>154</v>
      </c>
      <c r="D91" s="6" t="s">
        <v>132</v>
      </c>
      <c r="E91" s="6"/>
      <c r="F91" s="3" t="n">
        <v>2</v>
      </c>
      <c r="G91" s="3" t="n">
        <v>2</v>
      </c>
      <c r="H91" s="3" t="n">
        <f aca="false">F91+G91</f>
        <v>4</v>
      </c>
      <c r="I91" s="7"/>
      <c r="J91" s="5" t="n">
        <f aca="false">IF(B91="","",Параметри!$B$4*(F91*INDEX(Параметри!$C$9:$C$12,B91)+G91*INDEX(Параметри!$D$9:$D$12,B91)))</f>
        <v>68</v>
      </c>
      <c r="K91" s="3" t="str">
        <f aca="false">IF(OR(I91="",J91=""),"",I91-J91)</f>
        <v/>
      </c>
      <c r="L91" s="4"/>
    </row>
    <row r="92" customFormat="false" ht="15" hidden="false" customHeight="false" outlineLevel="0" collapsed="false">
      <c r="A92" s="3" t="n">
        <v>84</v>
      </c>
      <c r="B92" s="5" t="n">
        <f aca="false">IFERROR(VLOOKUP(A92,Групи!$A$2:$E$26,5,FALSE()),"")</f>
        <v>3</v>
      </c>
      <c r="C92" s="4" t="s">
        <v>155</v>
      </c>
      <c r="D92" s="6" t="s">
        <v>108</v>
      </c>
      <c r="E92" s="6"/>
      <c r="F92" s="3" t="n">
        <v>1</v>
      </c>
      <c r="G92" s="3" t="n">
        <v>1</v>
      </c>
      <c r="H92" s="3" t="n">
        <f aca="false">F92+G92</f>
        <v>2</v>
      </c>
      <c r="I92" s="7"/>
      <c r="J92" s="5" t="n">
        <f aca="false">IF(B92="","",Параметри!$B$4*(F92*INDEX(Параметри!$C$9:$C$12,B92)+G92*INDEX(Параметри!$D$9:$D$12,B92)))</f>
        <v>34</v>
      </c>
      <c r="K92" s="3" t="str">
        <f aca="false">IF(OR(I92="",J92=""),"",I92-J92)</f>
        <v/>
      </c>
      <c r="L92" s="4"/>
    </row>
    <row r="93" customFormat="false" ht="15" hidden="false" customHeight="false" outlineLevel="0" collapsed="false">
      <c r="A93" s="3" t="n">
        <v>84</v>
      </c>
      <c r="B93" s="5" t="n">
        <f aca="false">IFERROR(VLOOKUP(A93,Групи!$A$2:$E$26,5,FALSE()),"")</f>
        <v>3</v>
      </c>
      <c r="C93" s="4" t="s">
        <v>105</v>
      </c>
      <c r="D93" s="6" t="s">
        <v>128</v>
      </c>
      <c r="E93" s="6"/>
      <c r="F93" s="3" t="n">
        <v>1</v>
      </c>
      <c r="G93" s="3" t="n">
        <v>1</v>
      </c>
      <c r="H93" s="3" t="n">
        <f aca="false">F93+G93</f>
        <v>2</v>
      </c>
      <c r="I93" s="7"/>
      <c r="J93" s="5" t="n">
        <f aca="false">IF(B93="","",Параметри!$B$4*(F93*INDEX(Параметри!$C$9:$C$12,B93)+G93*INDEX(Параметри!$D$9:$D$12,B93)))</f>
        <v>34</v>
      </c>
      <c r="K93" s="3" t="str">
        <f aca="false">IF(OR(I93="",J93=""),"",I93-J93)</f>
        <v/>
      </c>
      <c r="L93" s="4"/>
    </row>
    <row r="94" customFormat="false" ht="15" hidden="false" customHeight="false" outlineLevel="0" collapsed="false">
      <c r="A94" s="3" t="n">
        <v>84</v>
      </c>
      <c r="B94" s="5" t="n">
        <f aca="false">IFERROR(VLOOKUP(A94,Групи!$A$2:$E$26,5,FALSE()),"")</f>
        <v>3</v>
      </c>
      <c r="C94" s="4" t="s">
        <v>163</v>
      </c>
      <c r="D94" s="6" t="s">
        <v>132</v>
      </c>
      <c r="E94" s="6"/>
      <c r="F94" s="3" t="n">
        <v>3</v>
      </c>
      <c r="G94" s="3" t="n">
        <v>2</v>
      </c>
      <c r="H94" s="3" t="n">
        <f aca="false">F94+G94</f>
        <v>5</v>
      </c>
      <c r="I94" s="7"/>
      <c r="J94" s="5" t="n">
        <f aca="false">IF(B94="","",Параметри!$B$4*(F94*INDEX(Параметри!$C$9:$C$12,B94)+G94*INDEX(Параметри!$D$9:$D$12,B94)))</f>
        <v>86</v>
      </c>
      <c r="K94" s="3" t="str">
        <f aca="false">IF(OR(I94="",J94=""),"",I94-J94)</f>
        <v/>
      </c>
      <c r="L94" s="4"/>
    </row>
    <row r="95" customFormat="false" ht="23.85" hidden="false" customHeight="false" outlineLevel="0" collapsed="false">
      <c r="A95" s="3" t="n">
        <v>85</v>
      </c>
      <c r="B95" s="5" t="n">
        <f aca="false">IFERROR(VLOOKUP(A95,Групи!$A$2:$E$26,5,FALSE()),"")</f>
        <v>3</v>
      </c>
      <c r="C95" s="4" t="s">
        <v>90</v>
      </c>
      <c r="D95" s="6" t="s">
        <v>119</v>
      </c>
      <c r="E95" s="6" t="s">
        <v>91</v>
      </c>
      <c r="F95" s="3" t="n">
        <v>1</v>
      </c>
      <c r="G95" s="3" t="n">
        <v>1</v>
      </c>
      <c r="H95" s="3" t="n">
        <f aca="false">F95+G95</f>
        <v>2</v>
      </c>
      <c r="I95" s="7" t="n">
        <v>34</v>
      </c>
      <c r="J95" s="5" t="n">
        <f aca="false">IF(B95="","",Параметри!$B$4*(F95*INDEX(Параметри!$C$9:$C$12,B95)+G95*INDEX(Параметри!$D$9:$D$12,B95)))</f>
        <v>34</v>
      </c>
      <c r="K95" s="3" t="n">
        <f aca="false">IF(OR(I95="",J95=""),"",I95-J95)</f>
        <v>0</v>
      </c>
      <c r="L95" s="4" t="s">
        <v>164</v>
      </c>
    </row>
    <row r="96" customFormat="false" ht="23.85" hidden="false" customHeight="false" outlineLevel="0" collapsed="false">
      <c r="A96" s="3" t="n">
        <v>85</v>
      </c>
      <c r="B96" s="5" t="n">
        <f aca="false">IFERROR(VLOOKUP(A96,Групи!$A$2:$E$26,5,FALSE()),"")</f>
        <v>3</v>
      </c>
      <c r="C96" s="4" t="s">
        <v>94</v>
      </c>
      <c r="D96" s="6" t="s">
        <v>165</v>
      </c>
      <c r="E96" s="6"/>
      <c r="F96" s="3" t="n">
        <v>1</v>
      </c>
      <c r="G96" s="3" t="n">
        <v>1</v>
      </c>
      <c r="H96" s="3" t="n">
        <f aca="false">F96+G96</f>
        <v>2</v>
      </c>
      <c r="I96" s="7"/>
      <c r="J96" s="5" t="n">
        <f aca="false">IF(B96="","",Параметри!$B$4*(F96*INDEX(Параметри!$C$9:$C$12,B96)+G96*INDEX(Параметри!$D$9:$D$12,B96)))</f>
        <v>34</v>
      </c>
      <c r="K96" s="3" t="str">
        <f aca="false">IF(OR(I96="",J96=""),"",I96-J96)</f>
        <v/>
      </c>
      <c r="L96" s="4" t="s">
        <v>166</v>
      </c>
    </row>
    <row r="97" customFormat="false" ht="15" hidden="false" customHeight="false" outlineLevel="0" collapsed="false">
      <c r="A97" s="3" t="n">
        <v>85</v>
      </c>
      <c r="B97" s="5" t="n">
        <f aca="false">IFERROR(VLOOKUP(A97,Групи!$A$2:$E$26,5,FALSE()),"")</f>
        <v>3</v>
      </c>
      <c r="C97" s="4" t="s">
        <v>167</v>
      </c>
      <c r="D97" s="6" t="s">
        <v>168</v>
      </c>
      <c r="E97" s="6"/>
      <c r="F97" s="3" t="n">
        <v>2</v>
      </c>
      <c r="G97" s="3" t="n">
        <v>2</v>
      </c>
      <c r="H97" s="3" t="n">
        <f aca="false">F97+G97</f>
        <v>4</v>
      </c>
      <c r="I97" s="7" t="n">
        <v>68</v>
      </c>
      <c r="J97" s="5" t="n">
        <f aca="false">IF(B97="","",Параметри!$B$4*(F97*INDEX(Параметри!$C$9:$C$12,B97)+G97*INDEX(Параметри!$D$9:$D$12,B97)))</f>
        <v>68</v>
      </c>
      <c r="K97" s="3" t="n">
        <f aca="false">IF(OR(I97="",J97=""),"",I97-J97)</f>
        <v>0</v>
      </c>
      <c r="L97" s="4"/>
    </row>
    <row r="98" customFormat="false" ht="15" hidden="false" customHeight="false" outlineLevel="0" collapsed="false">
      <c r="A98" s="3" t="n">
        <v>85</v>
      </c>
      <c r="B98" s="5" t="n">
        <f aca="false">IFERROR(VLOOKUP(A98,Групи!$A$2:$E$26,5,FALSE()),"")</f>
        <v>3</v>
      </c>
      <c r="C98" s="4" t="s">
        <v>169</v>
      </c>
      <c r="D98" s="6" t="s">
        <v>121</v>
      </c>
      <c r="E98" s="6"/>
      <c r="F98" s="3" t="n">
        <v>3</v>
      </c>
      <c r="G98" s="3" t="n">
        <v>2</v>
      </c>
      <c r="H98" s="3" t="n">
        <f aca="false">F98+G98</f>
        <v>5</v>
      </c>
      <c r="I98" s="7" t="n">
        <v>84</v>
      </c>
      <c r="J98" s="5" t="n">
        <f aca="false">IF(B98="","",Параметри!$B$4*(F98*INDEX(Параметри!$C$9:$C$12,B98)+G98*INDEX(Параметри!$D$9:$D$12,B98)))</f>
        <v>86</v>
      </c>
      <c r="K98" s="3" t="n">
        <f aca="false">IF(OR(I98="",J98=""),"",I98-J98)</f>
        <v>-2</v>
      </c>
      <c r="L98" s="4" t="s">
        <v>170</v>
      </c>
    </row>
    <row r="99" customFormat="false" ht="15" hidden="false" customHeight="false" outlineLevel="0" collapsed="false">
      <c r="A99" s="3" t="n">
        <v>85</v>
      </c>
      <c r="B99" s="5" t="n">
        <f aca="false">IFERROR(VLOOKUP(A99,Групи!$A$2:$E$26,5,FALSE()),"")</f>
        <v>3</v>
      </c>
      <c r="C99" s="4" t="s">
        <v>171</v>
      </c>
      <c r="D99" s="6" t="s">
        <v>118</v>
      </c>
      <c r="E99" s="6"/>
      <c r="F99" s="3" t="n">
        <v>2</v>
      </c>
      <c r="G99" s="3" t="n">
        <v>3</v>
      </c>
      <c r="H99" s="3" t="n">
        <f aca="false">F99+G99</f>
        <v>5</v>
      </c>
      <c r="I99" s="7" t="n">
        <v>84</v>
      </c>
      <c r="J99" s="5" t="n">
        <f aca="false">IF(B99="","",Параметри!$B$4*(F99*INDEX(Параметри!$C$9:$C$12,B99)+G99*INDEX(Параметри!$D$9:$D$12,B99)))</f>
        <v>84</v>
      </c>
      <c r="K99" s="3" t="n">
        <f aca="false">IF(OR(I99="",J99=""),"",I99-J99)</f>
        <v>0</v>
      </c>
      <c r="L99" s="4" t="s">
        <v>172</v>
      </c>
    </row>
    <row r="100" customFormat="false" ht="23.85" hidden="false" customHeight="false" outlineLevel="0" collapsed="false">
      <c r="A100" s="3" t="n">
        <v>85</v>
      </c>
      <c r="B100" s="5" t="n">
        <f aca="false">IFERROR(VLOOKUP(A100,Групи!$A$2:$E$26,5,FALSE()),"")</f>
        <v>3</v>
      </c>
      <c r="C100" s="4" t="s">
        <v>151</v>
      </c>
      <c r="D100" s="6" t="s">
        <v>130</v>
      </c>
      <c r="E100" s="6"/>
      <c r="F100" s="3" t="n">
        <v>2</v>
      </c>
      <c r="G100" s="3" t="n">
        <v>2</v>
      </c>
      <c r="H100" s="3" t="n">
        <f aca="false">F100+G100</f>
        <v>4</v>
      </c>
      <c r="I100" s="7" t="n">
        <v>68</v>
      </c>
      <c r="J100" s="5" t="n">
        <f aca="false">IF(B100="","",Параметри!$B$4*(F100*INDEX(Параметри!$C$9:$C$12,B100)+G100*INDEX(Параметри!$D$9:$D$12,B100)))</f>
        <v>68</v>
      </c>
      <c r="K100" s="3" t="n">
        <f aca="false">IF(OR(I100="",J100=""),"",I100-J100)</f>
        <v>0</v>
      </c>
      <c r="L100" s="4"/>
    </row>
    <row r="101" customFormat="false" ht="15" hidden="false" customHeight="false" outlineLevel="0" collapsed="false">
      <c r="A101" s="3" t="n">
        <v>85</v>
      </c>
      <c r="B101" s="5" t="n">
        <f aca="false">IFERROR(VLOOKUP(A101,Групи!$A$2:$E$26,5,FALSE()),"")</f>
        <v>3</v>
      </c>
      <c r="C101" s="4" t="s">
        <v>173</v>
      </c>
      <c r="D101" s="6" t="s">
        <v>143</v>
      </c>
      <c r="E101" s="6"/>
      <c r="F101" s="3" t="n">
        <v>3</v>
      </c>
      <c r="G101" s="3" t="n">
        <v>3</v>
      </c>
      <c r="H101" s="3" t="n">
        <f aca="false">F101+G101</f>
        <v>6</v>
      </c>
      <c r="I101" s="7" t="n">
        <v>102</v>
      </c>
      <c r="J101" s="5" t="n">
        <f aca="false">IF(B101="","",Параметри!$B$4*(F101*INDEX(Параметри!$C$9:$C$12,B101)+G101*INDEX(Параметри!$D$9:$D$12,B101)))</f>
        <v>102</v>
      </c>
      <c r="K101" s="3" t="n">
        <f aca="false">IF(OR(I101="",J101=""),"",I101-J101)</f>
        <v>0</v>
      </c>
      <c r="L101" s="4" t="s">
        <v>172</v>
      </c>
    </row>
    <row r="102" customFormat="false" ht="15" hidden="false" customHeight="false" outlineLevel="0" collapsed="false">
      <c r="A102" s="3" t="n">
        <v>85</v>
      </c>
      <c r="B102" s="5" t="n">
        <f aca="false">IFERROR(VLOOKUP(A102,Групи!$A$2:$E$26,5,FALSE()),"")</f>
        <v>3</v>
      </c>
      <c r="C102" s="4" t="s">
        <v>155</v>
      </c>
      <c r="D102" s="6" t="s">
        <v>165</v>
      </c>
      <c r="E102" s="6"/>
      <c r="F102" s="3" t="n">
        <v>2</v>
      </c>
      <c r="G102" s="3" t="n">
        <v>2</v>
      </c>
      <c r="H102" s="3" t="n">
        <f aca="false">F102+G102</f>
        <v>4</v>
      </c>
      <c r="I102" s="7" t="n">
        <v>68</v>
      </c>
      <c r="J102" s="5" t="n">
        <f aca="false">IF(B102="","",Параметри!$B$4*(F102*INDEX(Параметри!$C$9:$C$12,B102)+G102*INDEX(Параметри!$D$9:$D$12,B102)))</f>
        <v>68</v>
      </c>
      <c r="K102" s="3" t="n">
        <f aca="false">IF(OR(I102="",J102=""),"",I102-J102)</f>
        <v>0</v>
      </c>
      <c r="L102" s="4"/>
    </row>
    <row r="103" customFormat="false" ht="15" hidden="false" customHeight="false" outlineLevel="0" collapsed="false">
      <c r="A103" s="3" t="n">
        <v>85</v>
      </c>
      <c r="B103" s="5" t="n">
        <f aca="false">IFERROR(VLOOKUP(A103,Групи!$A$2:$E$26,5,FALSE()),"")</f>
        <v>3</v>
      </c>
      <c r="C103" s="4" t="s">
        <v>105</v>
      </c>
      <c r="D103" s="6" t="s">
        <v>147</v>
      </c>
      <c r="E103" s="6"/>
      <c r="F103" s="3" t="n">
        <v>1</v>
      </c>
      <c r="G103" s="3" t="n">
        <v>1</v>
      </c>
      <c r="H103" s="3" t="n">
        <f aca="false">F103+G103</f>
        <v>2</v>
      </c>
      <c r="I103" s="7" t="n">
        <v>34</v>
      </c>
      <c r="J103" s="5" t="n">
        <f aca="false">IF(B103="","",Параметри!$B$4*(F103*INDEX(Параметри!$C$9:$C$12,B103)+G103*INDEX(Параметри!$D$9:$D$12,B103)))</f>
        <v>34</v>
      </c>
      <c r="K103" s="3" t="n">
        <f aca="false">IF(OR(I103="",J103=""),"",I103-J103)</f>
        <v>0</v>
      </c>
      <c r="L103" s="4"/>
    </row>
    <row r="104" customFormat="false" ht="15" hidden="false" customHeight="false" outlineLevel="0" collapsed="false">
      <c r="A104" s="3" t="n">
        <v>86</v>
      </c>
      <c r="B104" s="5" t="n">
        <f aca="false">IFERROR(VLOOKUP(A104,Групи!$A$2:$E$26,5,FALSE()),"")</f>
        <v>3</v>
      </c>
      <c r="C104" s="4" t="s">
        <v>90</v>
      </c>
      <c r="D104" s="6" t="s">
        <v>107</v>
      </c>
      <c r="E104" s="6"/>
      <c r="F104" s="3" t="n">
        <v>1</v>
      </c>
      <c r="G104" s="3" t="n">
        <v>1</v>
      </c>
      <c r="H104" s="3" t="n">
        <f aca="false">F104+G104</f>
        <v>2</v>
      </c>
      <c r="I104" s="7"/>
      <c r="J104" s="5" t="n">
        <f aca="false">IF(B104="","",Параметри!$B$4*(F104*INDEX(Параметри!$C$9:$C$12,B104)+G104*INDEX(Параметри!$D$9:$D$12,B104)))</f>
        <v>34</v>
      </c>
      <c r="K104" s="3" t="str">
        <f aca="false">IF(OR(I104="",J104=""),"",I104-J104)</f>
        <v/>
      </c>
      <c r="L104" s="4"/>
    </row>
    <row r="105" customFormat="false" ht="23.85" hidden="false" customHeight="false" outlineLevel="0" collapsed="false">
      <c r="A105" s="3" t="n">
        <v>86</v>
      </c>
      <c r="B105" s="5" t="n">
        <f aca="false">IFERROR(VLOOKUP(A105,Групи!$A$2:$E$26,5,FALSE()),"")</f>
        <v>3</v>
      </c>
      <c r="C105" s="4" t="s">
        <v>94</v>
      </c>
      <c r="D105" s="6" t="s">
        <v>168</v>
      </c>
      <c r="E105" s="6"/>
      <c r="F105" s="3" t="n">
        <v>1</v>
      </c>
      <c r="G105" s="3" t="n">
        <v>1</v>
      </c>
      <c r="H105" s="3" t="n">
        <f aca="false">F105+G105</f>
        <v>2</v>
      </c>
      <c r="I105" s="7"/>
      <c r="J105" s="5" t="n">
        <f aca="false">IF(B105="","",Параметри!$B$4*(F105*INDEX(Параметри!$C$9:$C$12,B105)+G105*INDEX(Параметри!$D$9:$D$12,B105)))</f>
        <v>34</v>
      </c>
      <c r="K105" s="3" t="str">
        <f aca="false">IF(OR(I105="",J105=""),"",I105-J105)</f>
        <v/>
      </c>
      <c r="L105" s="4" t="s">
        <v>174</v>
      </c>
    </row>
    <row r="106" customFormat="false" ht="15" hidden="false" customHeight="false" outlineLevel="0" collapsed="false">
      <c r="A106" s="3" t="n">
        <v>86</v>
      </c>
      <c r="B106" s="5" t="n">
        <f aca="false">IFERROR(VLOOKUP(A106,Групи!$A$2:$E$26,5,FALSE()),"")</f>
        <v>3</v>
      </c>
      <c r="C106" s="4" t="s">
        <v>167</v>
      </c>
      <c r="D106" s="6" t="s">
        <v>168</v>
      </c>
      <c r="E106" s="6"/>
      <c r="F106" s="3" t="n">
        <v>2</v>
      </c>
      <c r="G106" s="3" t="n">
        <v>2</v>
      </c>
      <c r="H106" s="3" t="n">
        <f aca="false">F106+G106</f>
        <v>4</v>
      </c>
      <c r="I106" s="7"/>
      <c r="J106" s="5" t="n">
        <f aca="false">IF(B106="","",Параметри!$B$4*(F106*INDEX(Параметри!$C$9:$C$12,B106)+G106*INDEX(Параметри!$D$9:$D$12,B106)))</f>
        <v>68</v>
      </c>
      <c r="K106" s="3" t="str">
        <f aca="false">IF(OR(I106="",J106=""),"",I106-J106)</f>
        <v/>
      </c>
      <c r="L106" s="4"/>
    </row>
    <row r="107" customFormat="false" ht="15" hidden="false" customHeight="false" outlineLevel="0" collapsed="false">
      <c r="A107" s="3" t="n">
        <v>86</v>
      </c>
      <c r="B107" s="5" t="n">
        <f aca="false">IFERROR(VLOOKUP(A107,Групи!$A$2:$E$26,5,FALSE()),"")</f>
        <v>3</v>
      </c>
      <c r="C107" s="4" t="s">
        <v>169</v>
      </c>
      <c r="D107" s="6" t="s">
        <v>121</v>
      </c>
      <c r="E107" s="6"/>
      <c r="F107" s="3" t="n">
        <v>2</v>
      </c>
      <c r="G107" s="3" t="n">
        <v>3</v>
      </c>
      <c r="H107" s="3" t="n">
        <f aca="false">F107+G107</f>
        <v>5</v>
      </c>
      <c r="I107" s="7"/>
      <c r="J107" s="5" t="n">
        <f aca="false">IF(B107="","",Параметри!$B$4*(F107*INDEX(Параметри!$C$9:$C$12,B107)+G107*INDEX(Параметри!$D$9:$D$12,B107)))</f>
        <v>84</v>
      </c>
      <c r="K107" s="3" t="str">
        <f aca="false">IF(OR(I107="",J107=""),"",I107-J107)</f>
        <v/>
      </c>
      <c r="L107" s="4"/>
    </row>
    <row r="108" customFormat="false" ht="15" hidden="false" customHeight="false" outlineLevel="0" collapsed="false">
      <c r="A108" s="3" t="n">
        <v>86</v>
      </c>
      <c r="B108" s="5" t="n">
        <f aca="false">IFERROR(VLOOKUP(A108,Групи!$A$2:$E$26,5,FALSE()),"")</f>
        <v>3</v>
      </c>
      <c r="C108" s="4" t="s">
        <v>171</v>
      </c>
      <c r="D108" s="6" t="s">
        <v>118</v>
      </c>
      <c r="E108" s="6"/>
      <c r="F108" s="3" t="n">
        <v>3</v>
      </c>
      <c r="G108" s="3" t="n">
        <v>2</v>
      </c>
      <c r="H108" s="3" t="n">
        <f aca="false">F108+G108</f>
        <v>5</v>
      </c>
      <c r="I108" s="7"/>
      <c r="J108" s="5" t="n">
        <f aca="false">IF(B108="","",Параметри!$B$4*(F108*INDEX(Параметри!$C$9:$C$12,B108)+G108*INDEX(Параметри!$D$9:$D$12,B108)))</f>
        <v>86</v>
      </c>
      <c r="K108" s="3" t="str">
        <f aca="false">IF(OR(I108="",J108=""),"",I108-J108)</f>
        <v/>
      </c>
      <c r="L108" s="4"/>
    </row>
    <row r="109" customFormat="false" ht="23.85" hidden="false" customHeight="false" outlineLevel="0" collapsed="false">
      <c r="A109" s="3" t="n">
        <v>86</v>
      </c>
      <c r="B109" s="5" t="n">
        <f aca="false">IFERROR(VLOOKUP(A109,Групи!$A$2:$E$26,5,FALSE()),"")</f>
        <v>3</v>
      </c>
      <c r="C109" s="4" t="s">
        <v>151</v>
      </c>
      <c r="D109" s="6" t="s">
        <v>130</v>
      </c>
      <c r="E109" s="6"/>
      <c r="F109" s="3" t="n">
        <v>2</v>
      </c>
      <c r="G109" s="3" t="n">
        <v>2</v>
      </c>
      <c r="H109" s="3" t="n">
        <f aca="false">F109+G109</f>
        <v>4</v>
      </c>
      <c r="I109" s="7"/>
      <c r="J109" s="5" t="n">
        <f aca="false">IF(B109="","",Параметри!$B$4*(F109*INDEX(Параметри!$C$9:$C$12,B109)+G109*INDEX(Параметри!$D$9:$D$12,B109)))</f>
        <v>68</v>
      </c>
      <c r="K109" s="3" t="str">
        <f aca="false">IF(OR(I109="",J109=""),"",I109-J109)</f>
        <v/>
      </c>
      <c r="L109" s="4"/>
    </row>
    <row r="110" customFormat="false" ht="15" hidden="false" customHeight="false" outlineLevel="0" collapsed="false">
      <c r="A110" s="3" t="n">
        <v>86</v>
      </c>
      <c r="B110" s="5" t="n">
        <f aca="false">IFERROR(VLOOKUP(A110,Групи!$A$2:$E$26,5,FALSE()),"")</f>
        <v>3</v>
      </c>
      <c r="C110" s="4" t="s">
        <v>173</v>
      </c>
      <c r="D110" s="6" t="s">
        <v>143</v>
      </c>
      <c r="E110" s="6"/>
      <c r="F110" s="3" t="n">
        <v>3</v>
      </c>
      <c r="G110" s="3" t="n">
        <v>3</v>
      </c>
      <c r="H110" s="3" t="n">
        <f aca="false">F110+G110</f>
        <v>6</v>
      </c>
      <c r="I110" s="7"/>
      <c r="J110" s="5" t="n">
        <f aca="false">IF(B110="","",Параметри!$B$4*(F110*INDEX(Параметри!$C$9:$C$12,B110)+G110*INDEX(Параметри!$D$9:$D$12,B110)))</f>
        <v>102</v>
      </c>
      <c r="K110" s="3" t="str">
        <f aca="false">IF(OR(I110="",J110=""),"",I110-J110)</f>
        <v/>
      </c>
      <c r="L110" s="4"/>
    </row>
    <row r="111" customFormat="false" ht="15" hidden="false" customHeight="false" outlineLevel="0" collapsed="false">
      <c r="A111" s="3" t="n">
        <v>86</v>
      </c>
      <c r="B111" s="5" t="n">
        <f aca="false">IFERROR(VLOOKUP(A111,Групи!$A$2:$E$26,5,FALSE()),"")</f>
        <v>3</v>
      </c>
      <c r="C111" s="4" t="s">
        <v>155</v>
      </c>
      <c r="D111" s="6" t="s">
        <v>108</v>
      </c>
      <c r="E111" s="6"/>
      <c r="F111" s="3" t="n">
        <v>2</v>
      </c>
      <c r="G111" s="3" t="n">
        <v>2</v>
      </c>
      <c r="H111" s="3" t="n">
        <f aca="false">F111+G111</f>
        <v>4</v>
      </c>
      <c r="I111" s="7"/>
      <c r="J111" s="5" t="n">
        <f aca="false">IF(B111="","",Параметри!$B$4*(F111*INDEX(Параметри!$C$9:$C$12,B111)+G111*INDEX(Параметри!$D$9:$D$12,B111)))</f>
        <v>68</v>
      </c>
      <c r="K111" s="3" t="str">
        <f aca="false">IF(OR(I111="",J111=""),"",I111-J111)</f>
        <v/>
      </c>
      <c r="L111" s="4"/>
    </row>
    <row r="112" customFormat="false" ht="15" hidden="false" customHeight="false" outlineLevel="0" collapsed="false">
      <c r="A112" s="3" t="n">
        <v>86</v>
      </c>
      <c r="B112" s="5" t="n">
        <f aca="false">IFERROR(VLOOKUP(A112,Групи!$A$2:$E$26,5,FALSE()),"")</f>
        <v>3</v>
      </c>
      <c r="C112" s="4" t="s">
        <v>105</v>
      </c>
      <c r="D112" s="6" t="s">
        <v>147</v>
      </c>
      <c r="E112" s="6"/>
      <c r="F112" s="3" t="n">
        <v>1</v>
      </c>
      <c r="G112" s="3" t="n">
        <v>1</v>
      </c>
      <c r="H112" s="3" t="n">
        <f aca="false">F112+G112</f>
        <v>2</v>
      </c>
      <c r="I112" s="7"/>
      <c r="J112" s="5" t="n">
        <f aca="false">IF(B112="","",Параметри!$B$4*(F112*INDEX(Параметри!$C$9:$C$12,B112)+G112*INDEX(Параметри!$D$9:$D$12,B112)))</f>
        <v>34</v>
      </c>
      <c r="K112" s="3" t="str">
        <f aca="false">IF(OR(I112="",J112=""),"",I112-J112)</f>
        <v/>
      </c>
      <c r="L112" s="4"/>
    </row>
    <row r="113" customFormat="false" ht="15" hidden="false" customHeight="false" outlineLevel="0" collapsed="false">
      <c r="A113" s="3" t="n">
        <v>87</v>
      </c>
      <c r="B113" s="5" t="n">
        <f aca="false">IFERROR(VLOOKUP(A113,Групи!$A$2:$E$26,5,FALSE()),"")</f>
        <v>2</v>
      </c>
      <c r="C113" s="4" t="s">
        <v>175</v>
      </c>
      <c r="D113" s="6" t="s">
        <v>119</v>
      </c>
      <c r="E113" s="6"/>
      <c r="F113" s="3" t="n">
        <v>1</v>
      </c>
      <c r="G113" s="3" t="n">
        <v>1</v>
      </c>
      <c r="H113" s="3" t="n">
        <f aca="false">F113+G113</f>
        <v>2</v>
      </c>
      <c r="I113" s="7"/>
      <c r="J113" s="5" t="n">
        <f aca="false">IF(B113="","",Параметри!$B$4*(F113*INDEX(Параметри!$C$9:$C$12,B113)+G113*INDEX(Параметри!$D$9:$D$12,B113)))</f>
        <v>34</v>
      </c>
      <c r="K113" s="3" t="str">
        <f aca="false">IF(OR(I113="",J113=""),"",I113-J113)</f>
        <v/>
      </c>
      <c r="L113" s="4"/>
    </row>
    <row r="114" customFormat="false" ht="15" hidden="false" customHeight="false" outlineLevel="0" collapsed="false">
      <c r="A114" s="3" t="n">
        <v>87</v>
      </c>
      <c r="B114" s="5" t="n">
        <f aca="false">IFERROR(VLOOKUP(A114,Групи!$A$2:$E$26,5,FALSE()),"")</f>
        <v>2</v>
      </c>
      <c r="C114" s="4" t="s">
        <v>176</v>
      </c>
      <c r="D114" s="6" t="s">
        <v>104</v>
      </c>
      <c r="E114" s="6"/>
      <c r="F114" s="3" t="n">
        <v>0</v>
      </c>
      <c r="G114" s="3" t="n">
        <v>1</v>
      </c>
      <c r="H114" s="3" t="n">
        <f aca="false">F114+G114</f>
        <v>1</v>
      </c>
      <c r="I114" s="7"/>
      <c r="J114" s="5" t="n">
        <f aca="false">IF(B114="","",Параметри!$B$4*(F114*INDEX(Параметри!$C$9:$C$12,B114)+G114*INDEX(Параметри!$D$9:$D$12,B114)))</f>
        <v>16</v>
      </c>
      <c r="K114" s="3" t="str">
        <f aca="false">IF(OR(I114="",J114=""),"",I114-J114)</f>
        <v/>
      </c>
      <c r="L114" s="4"/>
    </row>
    <row r="115" customFormat="false" ht="15" hidden="false" customHeight="false" outlineLevel="0" collapsed="false">
      <c r="A115" s="3" t="n">
        <v>87</v>
      </c>
      <c r="B115" s="5" t="n">
        <f aca="false">IFERROR(VLOOKUP(A115,Групи!$A$2:$E$26,5,FALSE()),"")</f>
        <v>2</v>
      </c>
      <c r="C115" s="4" t="s">
        <v>177</v>
      </c>
      <c r="D115" s="6" t="s">
        <v>152</v>
      </c>
      <c r="E115" s="6"/>
      <c r="F115" s="3" t="n">
        <v>1</v>
      </c>
      <c r="G115" s="3" t="n">
        <v>1</v>
      </c>
      <c r="H115" s="3" t="n">
        <f aca="false">F115+G115</f>
        <v>2</v>
      </c>
      <c r="I115" s="7"/>
      <c r="J115" s="5" t="n">
        <f aca="false">IF(B115="","",Параметри!$B$4*(F115*INDEX(Параметри!$C$9:$C$12,B115)+G115*INDEX(Параметри!$D$9:$D$12,B115)))</f>
        <v>34</v>
      </c>
      <c r="K115" s="3" t="str">
        <f aca="false">IF(OR(I115="",J115=""),"",I115-J115)</f>
        <v/>
      </c>
      <c r="L115" s="4"/>
    </row>
    <row r="116" customFormat="false" ht="15" hidden="false" customHeight="false" outlineLevel="0" collapsed="false">
      <c r="A116" s="3" t="n">
        <v>87</v>
      </c>
      <c r="B116" s="5" t="n">
        <f aca="false">IFERROR(VLOOKUP(A116,Групи!$A$2:$E$26,5,FALSE()),"")</f>
        <v>2</v>
      </c>
      <c r="C116" s="4" t="s">
        <v>178</v>
      </c>
      <c r="D116" s="6" t="s">
        <v>120</v>
      </c>
      <c r="E116" s="6"/>
      <c r="F116" s="3" t="n">
        <v>1</v>
      </c>
      <c r="G116" s="3" t="n">
        <v>1</v>
      </c>
      <c r="H116" s="3" t="n">
        <f aca="false">F116+G116</f>
        <v>2</v>
      </c>
      <c r="I116" s="7"/>
      <c r="J116" s="5" t="n">
        <f aca="false">IF(B116="","",Параметри!$B$4*(F116*INDEX(Параметри!$C$9:$C$12,B116)+G116*INDEX(Параметри!$D$9:$D$12,B116)))</f>
        <v>34</v>
      </c>
      <c r="K116" s="3" t="str">
        <f aca="false">IF(OR(I116="",J116=""),"",I116-J116)</f>
        <v/>
      </c>
      <c r="L116" s="4"/>
    </row>
    <row r="117" customFormat="false" ht="15" hidden="false" customHeight="false" outlineLevel="0" collapsed="false">
      <c r="A117" s="3" t="n">
        <v>87</v>
      </c>
      <c r="B117" s="5" t="n">
        <f aca="false">IFERROR(VLOOKUP(A117,Групи!$A$2:$E$26,5,FALSE()),"")</f>
        <v>2</v>
      </c>
      <c r="C117" s="4" t="s">
        <v>94</v>
      </c>
      <c r="D117" s="6" t="s">
        <v>152</v>
      </c>
      <c r="E117" s="6"/>
      <c r="F117" s="3" t="n">
        <v>1</v>
      </c>
      <c r="G117" s="3" t="n">
        <v>1</v>
      </c>
      <c r="H117" s="3" t="n">
        <f aca="false">F117+G117</f>
        <v>2</v>
      </c>
      <c r="I117" s="7"/>
      <c r="J117" s="5" t="n">
        <f aca="false">IF(B117="","",Параметри!$B$4*(F117*INDEX(Параметри!$C$9:$C$12,B117)+G117*INDEX(Параметри!$D$9:$D$12,B117)))</f>
        <v>34</v>
      </c>
      <c r="K117" s="3" t="str">
        <f aca="false">IF(OR(I117="",J117=""),"",I117-J117)</f>
        <v/>
      </c>
      <c r="L117" s="4" t="s">
        <v>95</v>
      </c>
    </row>
    <row r="118" customFormat="false" ht="15" hidden="false" customHeight="false" outlineLevel="0" collapsed="false">
      <c r="A118" s="3" t="n">
        <v>87</v>
      </c>
      <c r="B118" s="5" t="n">
        <f aca="false">IFERROR(VLOOKUP(A118,Групи!$A$2:$E$26,5,FALSE()),"")</f>
        <v>2</v>
      </c>
      <c r="C118" s="4" t="s">
        <v>179</v>
      </c>
      <c r="D118" s="6" t="s">
        <v>114</v>
      </c>
      <c r="E118" s="6"/>
      <c r="F118" s="3" t="n">
        <v>1</v>
      </c>
      <c r="G118" s="3" t="n">
        <v>2</v>
      </c>
      <c r="H118" s="3" t="n">
        <f aca="false">F118+G118</f>
        <v>3</v>
      </c>
      <c r="I118" s="7"/>
      <c r="J118" s="5" t="n">
        <f aca="false">IF(B118="","",Параметри!$B$4*(F118*INDEX(Параметри!$C$9:$C$12,B118)+G118*INDEX(Параметри!$D$9:$D$12,B118)))</f>
        <v>50</v>
      </c>
      <c r="K118" s="3" t="str">
        <f aca="false">IF(OR(I118="",J118=""),"",I118-J118)</f>
        <v/>
      </c>
      <c r="L118" s="4"/>
    </row>
    <row r="119" customFormat="false" ht="15" hidden="false" customHeight="false" outlineLevel="0" collapsed="false">
      <c r="A119" s="3" t="n">
        <v>87</v>
      </c>
      <c r="B119" s="5" t="n">
        <f aca="false">IFERROR(VLOOKUP(A119,Групи!$A$2:$E$26,5,FALSE()),"")</f>
        <v>2</v>
      </c>
      <c r="C119" s="4" t="s">
        <v>180</v>
      </c>
      <c r="D119" s="6" t="s">
        <v>181</v>
      </c>
      <c r="E119" s="6"/>
      <c r="F119" s="3" t="n">
        <v>4</v>
      </c>
      <c r="G119" s="3" t="n">
        <v>0</v>
      </c>
      <c r="H119" s="3" t="n">
        <f aca="false">F119+G119</f>
        <v>4</v>
      </c>
      <c r="I119" s="7"/>
      <c r="J119" s="5" t="n">
        <f aca="false">IF(B119="","",Параметри!$B$4*(F119*INDEX(Параметри!$C$9:$C$12,B119)+G119*INDEX(Параметри!$D$9:$D$12,B119)))</f>
        <v>72</v>
      </c>
      <c r="K119" s="3" t="str">
        <f aca="false">IF(OR(I119="",J119=""),"",I119-J119)</f>
        <v/>
      </c>
      <c r="L119" s="4" t="s">
        <v>182</v>
      </c>
    </row>
    <row r="120" customFormat="false" ht="15" hidden="false" customHeight="false" outlineLevel="0" collapsed="false">
      <c r="A120" s="3" t="n">
        <v>87</v>
      </c>
      <c r="B120" s="5" t="n">
        <f aca="false">IFERROR(VLOOKUP(A120,Групи!$A$2:$E$26,5,FALSE()),"")</f>
        <v>2</v>
      </c>
      <c r="C120" s="4" t="s">
        <v>183</v>
      </c>
      <c r="D120" s="6" t="s">
        <v>184</v>
      </c>
      <c r="E120" s="6"/>
      <c r="F120" s="3" t="n">
        <v>2</v>
      </c>
      <c r="G120" s="3" t="n">
        <v>1</v>
      </c>
      <c r="H120" s="3" t="n">
        <f aca="false">F120+G120</f>
        <v>3</v>
      </c>
      <c r="I120" s="7"/>
      <c r="J120" s="5" t="n">
        <f aca="false">IF(B120="","",Параметри!$B$4*(F120*INDEX(Параметри!$C$9:$C$12,B120)+G120*INDEX(Параметри!$D$9:$D$12,B120)))</f>
        <v>52</v>
      </c>
      <c r="K120" s="3" t="str">
        <f aca="false">IF(OR(I120="",J120=""),"",I120-J120)</f>
        <v/>
      </c>
      <c r="L120" s="4"/>
    </row>
    <row r="121" customFormat="false" ht="23.85" hidden="false" customHeight="false" outlineLevel="0" collapsed="false">
      <c r="A121" s="3" t="n">
        <v>87</v>
      </c>
      <c r="B121" s="5" t="n">
        <f aca="false">IFERROR(VLOOKUP(A121,Групи!$A$2:$E$26,5,FALSE()),"")</f>
        <v>2</v>
      </c>
      <c r="C121" s="4" t="s">
        <v>185</v>
      </c>
      <c r="D121" s="6" t="s">
        <v>99</v>
      </c>
      <c r="E121" s="6"/>
      <c r="F121" s="3" t="n">
        <v>1</v>
      </c>
      <c r="G121" s="3" t="n">
        <v>1</v>
      </c>
      <c r="H121" s="3" t="n">
        <f aca="false">F121+G121</f>
        <v>2</v>
      </c>
      <c r="I121" s="7"/>
      <c r="J121" s="5" t="n">
        <f aca="false">IF(B121="","",Параметри!$B$4*(F121*INDEX(Параметри!$C$9:$C$12,B121)+G121*INDEX(Параметри!$D$9:$D$12,B121)))</f>
        <v>34</v>
      </c>
      <c r="K121" s="3" t="str">
        <f aca="false">IF(OR(I121="",J121=""),"",I121-J121)</f>
        <v/>
      </c>
      <c r="L121" s="4"/>
    </row>
    <row r="122" customFormat="false" ht="15" hidden="false" customHeight="false" outlineLevel="0" collapsed="false">
      <c r="A122" s="3" t="n">
        <v>87</v>
      </c>
      <c r="B122" s="5" t="n">
        <f aca="false">IFERROR(VLOOKUP(A122,Групи!$A$2:$E$26,5,FALSE()),"")</f>
        <v>2</v>
      </c>
      <c r="C122" s="4" t="s">
        <v>186</v>
      </c>
      <c r="D122" s="6" t="s">
        <v>187</v>
      </c>
      <c r="E122" s="6" t="s">
        <v>188</v>
      </c>
      <c r="F122" s="3" t="n">
        <v>1</v>
      </c>
      <c r="G122" s="3" t="n">
        <v>2</v>
      </c>
      <c r="H122" s="3" t="n">
        <f aca="false">F122+G122</f>
        <v>3</v>
      </c>
      <c r="I122" s="7"/>
      <c r="J122" s="5" t="n">
        <f aca="false">IF(B122="","",Параметри!$B$4*(F122*INDEX(Параметри!$C$9:$C$12,B122)+G122*INDEX(Параметри!$D$9:$D$12,B122)))</f>
        <v>50</v>
      </c>
      <c r="K122" s="3" t="str">
        <f aca="false">IF(OR(I122="",J122=""),"",I122-J122)</f>
        <v/>
      </c>
      <c r="L122" s="4" t="s">
        <v>129</v>
      </c>
    </row>
    <row r="123" customFormat="false" ht="15" hidden="false" customHeight="false" outlineLevel="0" collapsed="false">
      <c r="A123" s="3" t="n">
        <v>87</v>
      </c>
      <c r="B123" s="5" t="n">
        <f aca="false">IFERROR(VLOOKUP(A123,Групи!$A$2:$E$26,5,FALSE()),"")</f>
        <v>2</v>
      </c>
      <c r="C123" s="4" t="s">
        <v>189</v>
      </c>
      <c r="D123" s="6" t="s">
        <v>165</v>
      </c>
      <c r="E123" s="6"/>
      <c r="F123" s="3" t="n">
        <v>1</v>
      </c>
      <c r="G123" s="3" t="n">
        <v>2</v>
      </c>
      <c r="H123" s="3" t="n">
        <f aca="false">F123+G123</f>
        <v>3</v>
      </c>
      <c r="I123" s="7"/>
      <c r="J123" s="5" t="n">
        <f aca="false">IF(B123="","",Параметри!$B$4*(F123*INDEX(Параметри!$C$9:$C$12,B123)+G123*INDEX(Параметри!$D$9:$D$12,B123)))</f>
        <v>50</v>
      </c>
      <c r="K123" s="3" t="str">
        <f aca="false">IF(OR(I123="",J123=""),"",I123-J123)</f>
        <v/>
      </c>
      <c r="L123" s="4"/>
    </row>
    <row r="124" customFormat="false" ht="15" hidden="false" customHeight="false" outlineLevel="0" collapsed="false">
      <c r="A124" s="3" t="n">
        <v>87</v>
      </c>
      <c r="B124" s="5" t="n">
        <f aca="false">IFERROR(VLOOKUP(A124,Групи!$A$2:$E$26,5,FALSE()),"")</f>
        <v>2</v>
      </c>
      <c r="C124" s="4" t="s">
        <v>190</v>
      </c>
      <c r="D124" s="6" t="s">
        <v>165</v>
      </c>
      <c r="E124" s="6"/>
      <c r="F124" s="3" t="n">
        <v>1</v>
      </c>
      <c r="G124" s="3" t="n">
        <v>1</v>
      </c>
      <c r="H124" s="3" t="n">
        <f aca="false">F124+G124</f>
        <v>2</v>
      </c>
      <c r="I124" s="7"/>
      <c r="J124" s="5" t="n">
        <f aca="false">IF(B124="","",Параметри!$B$4*(F124*INDEX(Параметри!$C$9:$C$12,B124)+G124*INDEX(Параметри!$D$9:$D$12,B124)))</f>
        <v>34</v>
      </c>
      <c r="K124" s="3" t="str">
        <f aca="false">IF(OR(I124="",J124=""),"",I124-J124)</f>
        <v/>
      </c>
      <c r="L124" s="4"/>
    </row>
    <row r="125" customFormat="false" ht="15" hidden="false" customHeight="false" outlineLevel="0" collapsed="false">
      <c r="A125" s="3" t="n">
        <v>87</v>
      </c>
      <c r="B125" s="5" t="n">
        <f aca="false">IFERROR(VLOOKUP(A125,Групи!$A$2:$E$26,5,FALSE()),"")</f>
        <v>2</v>
      </c>
      <c r="C125" s="4" t="s">
        <v>191</v>
      </c>
      <c r="D125" s="6" t="s">
        <v>192</v>
      </c>
      <c r="E125" s="6"/>
      <c r="F125" s="3" t="n">
        <v>1</v>
      </c>
      <c r="G125" s="3" t="n">
        <v>2</v>
      </c>
      <c r="H125" s="3" t="n">
        <f aca="false">F125+G125</f>
        <v>3</v>
      </c>
      <c r="I125" s="7"/>
      <c r="J125" s="5" t="n">
        <f aca="false">IF(B125="","",Параметри!$B$4*(F125*INDEX(Параметри!$C$9:$C$12,B125)+G125*INDEX(Параметри!$D$9:$D$12,B125)))</f>
        <v>50</v>
      </c>
      <c r="K125" s="3" t="str">
        <f aca="false">IF(OR(I125="",J125=""),"",I125-J125)</f>
        <v/>
      </c>
      <c r="L125" s="4"/>
    </row>
    <row r="126" customFormat="false" ht="15" hidden="false" customHeight="false" outlineLevel="0" collapsed="false">
      <c r="A126" s="3" t="n">
        <v>87</v>
      </c>
      <c r="B126" s="5" t="n">
        <f aca="false">IFERROR(VLOOKUP(A126,Групи!$A$2:$E$26,5,FALSE()),"")</f>
        <v>2</v>
      </c>
      <c r="C126" s="4" t="s">
        <v>193</v>
      </c>
      <c r="D126" s="6" t="s">
        <v>106</v>
      </c>
      <c r="E126" s="6"/>
      <c r="F126" s="3" t="n">
        <v>2</v>
      </c>
      <c r="G126" s="3" t="n">
        <v>1</v>
      </c>
      <c r="H126" s="3" t="n">
        <f aca="false">F126+G126</f>
        <v>3</v>
      </c>
      <c r="I126" s="7"/>
      <c r="J126" s="5" t="n">
        <f aca="false">IF(B126="","",Параметри!$B$4*(F126*INDEX(Параметри!$C$9:$C$12,B126)+G126*INDEX(Параметри!$D$9:$D$12,B126)))</f>
        <v>52</v>
      </c>
      <c r="K126" s="3" t="str">
        <f aca="false">IF(OR(I126="",J126=""),"",I126-J126)</f>
        <v/>
      </c>
      <c r="L126" s="4" t="s">
        <v>194</v>
      </c>
    </row>
    <row r="127" customFormat="false" ht="15" hidden="false" customHeight="false" outlineLevel="0" collapsed="false">
      <c r="A127" s="3" t="n">
        <v>88</v>
      </c>
      <c r="B127" s="5" t="n">
        <f aca="false">IFERROR(VLOOKUP(A127,Групи!$A$2:$E$26,5,FALSE()),"")</f>
        <v>2</v>
      </c>
      <c r="C127" s="4" t="s">
        <v>195</v>
      </c>
      <c r="D127" s="6" t="s">
        <v>111</v>
      </c>
      <c r="E127" s="6"/>
      <c r="F127" s="3" t="n">
        <v>2</v>
      </c>
      <c r="G127" s="3" t="n">
        <v>2</v>
      </c>
      <c r="H127" s="3" t="n">
        <f aca="false">F127+G127</f>
        <v>4</v>
      </c>
      <c r="I127" s="7"/>
      <c r="J127" s="5" t="n">
        <f aca="false">IF(B127="","",Параметри!$B$4*(F127*INDEX(Параметри!$C$9:$C$12,B127)+G127*INDEX(Параметри!$D$9:$D$12,B127)))</f>
        <v>68</v>
      </c>
      <c r="K127" s="3" t="str">
        <f aca="false">IF(OR(I127="",J127=""),"",I127-J127)</f>
        <v/>
      </c>
      <c r="L127" s="4"/>
    </row>
    <row r="128" customFormat="false" ht="15" hidden="false" customHeight="false" outlineLevel="0" collapsed="false">
      <c r="A128" s="3" t="n">
        <v>88</v>
      </c>
      <c r="B128" s="5" t="n">
        <f aca="false">IFERROR(VLOOKUP(A128,Групи!$A$2:$E$26,5,FALSE()),"")</f>
        <v>2</v>
      </c>
      <c r="C128" s="4" t="s">
        <v>175</v>
      </c>
      <c r="D128" s="6" t="s">
        <v>107</v>
      </c>
      <c r="E128" s="6"/>
      <c r="F128" s="3" t="n">
        <v>1</v>
      </c>
      <c r="G128" s="3" t="n">
        <v>1</v>
      </c>
      <c r="H128" s="3" t="n">
        <f aca="false">F128+G128</f>
        <v>2</v>
      </c>
      <c r="I128" s="7"/>
      <c r="J128" s="5" t="n">
        <f aca="false">IF(B128="","",Параметри!$B$4*(F128*INDEX(Параметри!$C$9:$C$12,B128)+G128*INDEX(Параметри!$D$9:$D$12,B128)))</f>
        <v>34</v>
      </c>
      <c r="K128" s="3" t="str">
        <f aca="false">IF(OR(I128="",J128=""),"",I128-J128)</f>
        <v/>
      </c>
      <c r="L128" s="4"/>
    </row>
    <row r="129" customFormat="false" ht="15" hidden="false" customHeight="false" outlineLevel="0" collapsed="false">
      <c r="A129" s="3" t="n">
        <v>88</v>
      </c>
      <c r="B129" s="5" t="n">
        <f aca="false">IFERROR(VLOOKUP(A129,Групи!$A$2:$E$26,5,FALSE()),"")</f>
        <v>2</v>
      </c>
      <c r="C129" s="4" t="s">
        <v>196</v>
      </c>
      <c r="D129" s="6" t="s">
        <v>123</v>
      </c>
      <c r="E129" s="6"/>
      <c r="F129" s="3" t="n">
        <v>1</v>
      </c>
      <c r="G129" s="3" t="n">
        <v>0</v>
      </c>
      <c r="H129" s="3" t="n">
        <f aca="false">F129+G129</f>
        <v>1</v>
      </c>
      <c r="I129" s="7"/>
      <c r="J129" s="5" t="n">
        <f aca="false">IF(B129="","",Параметри!$B$4*(F129*INDEX(Параметри!$C$9:$C$12,B129)+G129*INDEX(Параметри!$D$9:$D$12,B129)))</f>
        <v>18</v>
      </c>
      <c r="K129" s="3" t="str">
        <f aca="false">IF(OR(I129="",J129=""),"",I129-J129)</f>
        <v/>
      </c>
      <c r="L129" s="4"/>
    </row>
    <row r="130" customFormat="false" ht="15" hidden="false" customHeight="false" outlineLevel="0" collapsed="false">
      <c r="A130" s="3" t="n">
        <v>88</v>
      </c>
      <c r="B130" s="5" t="n">
        <f aca="false">IFERROR(VLOOKUP(A130,Групи!$A$2:$E$26,5,FALSE()),"")</f>
        <v>2</v>
      </c>
      <c r="C130" s="4" t="s">
        <v>176</v>
      </c>
      <c r="D130" s="6" t="s">
        <v>123</v>
      </c>
      <c r="E130" s="6"/>
      <c r="F130" s="3" t="n">
        <v>0</v>
      </c>
      <c r="G130" s="3" t="n">
        <v>1</v>
      </c>
      <c r="H130" s="3" t="n">
        <f aca="false">F130+G130</f>
        <v>1</v>
      </c>
      <c r="I130" s="7"/>
      <c r="J130" s="5" t="n">
        <f aca="false">IF(B130="","",Параметри!$B$4*(F130*INDEX(Параметри!$C$9:$C$12,B130)+G130*INDEX(Параметри!$D$9:$D$12,B130)))</f>
        <v>16</v>
      </c>
      <c r="K130" s="3" t="str">
        <f aca="false">IF(OR(I130="",J130=""),"",I130-J130)</f>
        <v/>
      </c>
      <c r="L130" s="4"/>
    </row>
    <row r="131" customFormat="false" ht="15" hidden="false" customHeight="false" outlineLevel="0" collapsed="false">
      <c r="A131" s="3" t="n">
        <v>88</v>
      </c>
      <c r="B131" s="5" t="n">
        <f aca="false">IFERROR(VLOOKUP(A131,Групи!$A$2:$E$26,5,FALSE()),"")</f>
        <v>2</v>
      </c>
      <c r="C131" s="4" t="s">
        <v>177</v>
      </c>
      <c r="D131" s="6" t="s">
        <v>152</v>
      </c>
      <c r="E131" s="6"/>
      <c r="F131" s="3" t="n">
        <v>1</v>
      </c>
      <c r="G131" s="3" t="n">
        <v>2</v>
      </c>
      <c r="H131" s="3" t="n">
        <f aca="false">F131+G131</f>
        <v>3</v>
      </c>
      <c r="I131" s="7"/>
      <c r="J131" s="5" t="n">
        <f aca="false">IF(B131="","",Параметри!$B$4*(F131*INDEX(Параметри!$C$9:$C$12,B131)+G131*INDEX(Параметри!$D$9:$D$12,B131)))</f>
        <v>50</v>
      </c>
      <c r="K131" s="3" t="str">
        <f aca="false">IF(OR(I131="",J131=""),"",I131-J131)</f>
        <v/>
      </c>
      <c r="L131" s="4"/>
    </row>
    <row r="132" customFormat="false" ht="15" hidden="false" customHeight="false" outlineLevel="0" collapsed="false">
      <c r="A132" s="3" t="n">
        <v>88</v>
      </c>
      <c r="B132" s="5" t="n">
        <f aca="false">IFERROR(VLOOKUP(A132,Групи!$A$2:$E$26,5,FALSE()),"")</f>
        <v>2</v>
      </c>
      <c r="C132" s="4" t="s">
        <v>178</v>
      </c>
      <c r="D132" s="6" t="s">
        <v>120</v>
      </c>
      <c r="E132" s="6"/>
      <c r="F132" s="3" t="n">
        <v>1</v>
      </c>
      <c r="G132" s="3" t="n">
        <v>1</v>
      </c>
      <c r="H132" s="3" t="n">
        <f aca="false">F132+G132</f>
        <v>2</v>
      </c>
      <c r="I132" s="7"/>
      <c r="J132" s="5" t="n">
        <f aca="false">IF(B132="","",Параметри!$B$4*(F132*INDEX(Параметри!$C$9:$C$12,B132)+G132*INDEX(Параметри!$D$9:$D$12,B132)))</f>
        <v>34</v>
      </c>
      <c r="K132" s="3" t="str">
        <f aca="false">IF(OR(I132="",J132=""),"",I132-J132)</f>
        <v/>
      </c>
      <c r="L132" s="4"/>
    </row>
    <row r="133" customFormat="false" ht="15" hidden="false" customHeight="false" outlineLevel="0" collapsed="false">
      <c r="A133" s="3" t="n">
        <v>88</v>
      </c>
      <c r="B133" s="5" t="n">
        <f aca="false">IFERROR(VLOOKUP(A133,Групи!$A$2:$E$26,5,FALSE()),"")</f>
        <v>2</v>
      </c>
      <c r="C133" s="4" t="s">
        <v>94</v>
      </c>
      <c r="D133" s="6" t="s">
        <v>123</v>
      </c>
      <c r="E133" s="6"/>
      <c r="F133" s="3" t="n">
        <v>1</v>
      </c>
      <c r="G133" s="3" t="n">
        <v>1</v>
      </c>
      <c r="H133" s="3" t="n">
        <f aca="false">F133+G133</f>
        <v>2</v>
      </c>
      <c r="I133" s="7"/>
      <c r="J133" s="5" t="n">
        <f aca="false">IF(B133="","",Параметри!$B$4*(F133*INDEX(Параметри!$C$9:$C$12,B133)+G133*INDEX(Параметри!$D$9:$D$12,B133)))</f>
        <v>34</v>
      </c>
      <c r="K133" s="3" t="str">
        <f aca="false">IF(OR(I133="",J133=""),"",I133-J133)</f>
        <v/>
      </c>
      <c r="L133" s="4" t="s">
        <v>95</v>
      </c>
    </row>
    <row r="134" customFormat="false" ht="15" hidden="false" customHeight="false" outlineLevel="0" collapsed="false">
      <c r="A134" s="3" t="n">
        <v>88</v>
      </c>
      <c r="B134" s="5" t="n">
        <f aca="false">IFERROR(VLOOKUP(A134,Групи!$A$2:$E$26,5,FALSE()),"")</f>
        <v>2</v>
      </c>
      <c r="C134" s="4" t="s">
        <v>183</v>
      </c>
      <c r="D134" s="6" t="s">
        <v>197</v>
      </c>
      <c r="E134" s="6"/>
      <c r="F134" s="3" t="n">
        <v>1</v>
      </c>
      <c r="G134" s="3" t="n">
        <v>2</v>
      </c>
      <c r="H134" s="3" t="n">
        <f aca="false">F134+G134</f>
        <v>3</v>
      </c>
      <c r="I134" s="7"/>
      <c r="J134" s="5" t="n">
        <f aca="false">IF(B134="","",Параметри!$B$4*(F134*INDEX(Параметри!$C$9:$C$12,B134)+G134*INDEX(Параметри!$D$9:$D$12,B134)))</f>
        <v>50</v>
      </c>
      <c r="K134" s="3" t="str">
        <f aca="false">IF(OR(I134="",J134=""),"",I134-J134)</f>
        <v/>
      </c>
      <c r="L134" s="4"/>
    </row>
    <row r="135" customFormat="false" ht="23.85" hidden="false" customHeight="false" outlineLevel="0" collapsed="false">
      <c r="A135" s="3" t="n">
        <v>88</v>
      </c>
      <c r="B135" s="5" t="n">
        <f aca="false">IFERROR(VLOOKUP(A135,Групи!$A$2:$E$26,5,FALSE()),"")</f>
        <v>2</v>
      </c>
      <c r="C135" s="4" t="s">
        <v>185</v>
      </c>
      <c r="D135" s="6" t="s">
        <v>99</v>
      </c>
      <c r="E135" s="6"/>
      <c r="F135" s="3" t="n">
        <v>1</v>
      </c>
      <c r="G135" s="3" t="n">
        <v>1</v>
      </c>
      <c r="H135" s="3" t="n">
        <f aca="false">F135+G135</f>
        <v>2</v>
      </c>
      <c r="I135" s="7"/>
      <c r="J135" s="5" t="n">
        <f aca="false">IF(B135="","",Параметри!$B$4*(F135*INDEX(Параметри!$C$9:$C$12,B135)+G135*INDEX(Параметри!$D$9:$D$12,B135)))</f>
        <v>34</v>
      </c>
      <c r="K135" s="3" t="str">
        <f aca="false">IF(OR(I135="",J135=""),"",I135-J135)</f>
        <v/>
      </c>
      <c r="L135" s="4"/>
    </row>
    <row r="136" customFormat="false" ht="15" hidden="false" customHeight="false" outlineLevel="0" collapsed="false">
      <c r="A136" s="3" t="n">
        <v>88</v>
      </c>
      <c r="B136" s="5" t="n">
        <f aca="false">IFERROR(VLOOKUP(A136,Групи!$A$2:$E$26,5,FALSE()),"")</f>
        <v>2</v>
      </c>
      <c r="C136" s="4" t="s">
        <v>186</v>
      </c>
      <c r="D136" s="6" t="s">
        <v>187</v>
      </c>
      <c r="E136" s="6" t="s">
        <v>123</v>
      </c>
      <c r="F136" s="3" t="n">
        <v>1</v>
      </c>
      <c r="G136" s="3" t="n">
        <v>1</v>
      </c>
      <c r="H136" s="3" t="n">
        <f aca="false">F136+G136</f>
        <v>2</v>
      </c>
      <c r="I136" s="7"/>
      <c r="J136" s="5" t="n">
        <f aca="false">IF(B136="","",Параметри!$B$4*(F136*INDEX(Параметри!$C$9:$C$12,B136)+G136*INDEX(Параметри!$D$9:$D$12,B136)))</f>
        <v>34</v>
      </c>
      <c r="K136" s="3" t="str">
        <f aca="false">IF(OR(I136="",J136=""),"",I136-J136)</f>
        <v/>
      </c>
      <c r="L136" s="4" t="s">
        <v>129</v>
      </c>
    </row>
    <row r="137" customFormat="false" ht="15" hidden="false" customHeight="false" outlineLevel="0" collapsed="false">
      <c r="A137" s="3" t="n">
        <v>88</v>
      </c>
      <c r="B137" s="5" t="n">
        <f aca="false">IFERROR(VLOOKUP(A137,Групи!$A$2:$E$26,5,FALSE()),"")</f>
        <v>2</v>
      </c>
      <c r="C137" s="4" t="s">
        <v>189</v>
      </c>
      <c r="D137" s="6" t="s">
        <v>165</v>
      </c>
      <c r="E137" s="6"/>
      <c r="F137" s="3" t="n">
        <v>1</v>
      </c>
      <c r="G137" s="3" t="n">
        <v>2</v>
      </c>
      <c r="H137" s="3" t="n">
        <f aca="false">F137+G137</f>
        <v>3</v>
      </c>
      <c r="I137" s="7"/>
      <c r="J137" s="5" t="n">
        <f aca="false">IF(B137="","",Параметри!$B$4*(F137*INDEX(Параметри!$C$9:$C$12,B137)+G137*INDEX(Параметри!$D$9:$D$12,B137)))</f>
        <v>50</v>
      </c>
      <c r="K137" s="3" t="str">
        <f aca="false">IF(OR(I137="",J137=""),"",I137-J137)</f>
        <v/>
      </c>
      <c r="L137" s="4"/>
    </row>
    <row r="138" customFormat="false" ht="15" hidden="false" customHeight="false" outlineLevel="0" collapsed="false">
      <c r="A138" s="3" t="n">
        <v>88</v>
      </c>
      <c r="B138" s="5" t="n">
        <f aca="false">IFERROR(VLOOKUP(A138,Групи!$A$2:$E$26,5,FALSE()),"")</f>
        <v>2</v>
      </c>
      <c r="C138" s="4" t="s">
        <v>190</v>
      </c>
      <c r="D138" s="6" t="s">
        <v>108</v>
      </c>
      <c r="E138" s="6"/>
      <c r="F138" s="3" t="n">
        <v>1</v>
      </c>
      <c r="G138" s="3" t="n">
        <v>1</v>
      </c>
      <c r="H138" s="3" t="n">
        <f aca="false">F138+G138</f>
        <v>2</v>
      </c>
      <c r="I138" s="7"/>
      <c r="J138" s="5" t="n">
        <f aca="false">IF(B138="","",Параметри!$B$4*(F138*INDEX(Параметри!$C$9:$C$12,B138)+G138*INDEX(Параметри!$D$9:$D$12,B138)))</f>
        <v>34</v>
      </c>
      <c r="K138" s="3" t="str">
        <f aca="false">IF(OR(I138="",J138=""),"",I138-J138)</f>
        <v/>
      </c>
      <c r="L138" s="4"/>
    </row>
    <row r="139" customFormat="false" ht="15" hidden="false" customHeight="false" outlineLevel="0" collapsed="false">
      <c r="A139" s="3" t="n">
        <v>88</v>
      </c>
      <c r="B139" s="5" t="n">
        <f aca="false">IFERROR(VLOOKUP(A139,Групи!$A$2:$E$26,5,FALSE()),"")</f>
        <v>2</v>
      </c>
      <c r="C139" s="4" t="s">
        <v>191</v>
      </c>
      <c r="D139" s="6" t="s">
        <v>192</v>
      </c>
      <c r="E139" s="6"/>
      <c r="F139" s="3" t="n">
        <v>2</v>
      </c>
      <c r="G139" s="3" t="n">
        <v>1</v>
      </c>
      <c r="H139" s="3" t="n">
        <f aca="false">F139+G139</f>
        <v>3</v>
      </c>
      <c r="I139" s="7"/>
      <c r="J139" s="5" t="n">
        <f aca="false">IF(B139="","",Параметри!$B$4*(F139*INDEX(Параметри!$C$9:$C$12,B139)+G139*INDEX(Параметри!$D$9:$D$12,B139)))</f>
        <v>52</v>
      </c>
      <c r="K139" s="3" t="str">
        <f aca="false">IF(OR(I139="",J139=""),"",I139-J139)</f>
        <v/>
      </c>
      <c r="L139" s="4"/>
    </row>
    <row r="140" customFormat="false" ht="15" hidden="false" customHeight="false" outlineLevel="0" collapsed="false">
      <c r="A140" s="3" t="n">
        <v>88</v>
      </c>
      <c r="B140" s="5" t="n">
        <f aca="false">IFERROR(VLOOKUP(A140,Групи!$A$2:$E$26,5,FALSE()),"")</f>
        <v>2</v>
      </c>
      <c r="C140" s="4" t="s">
        <v>193</v>
      </c>
      <c r="D140" s="6" t="s">
        <v>106</v>
      </c>
      <c r="E140" s="6"/>
      <c r="F140" s="3" t="n">
        <v>2</v>
      </c>
      <c r="G140" s="3" t="n">
        <v>1</v>
      </c>
      <c r="H140" s="3" t="n">
        <f aca="false">F140+G140</f>
        <v>3</v>
      </c>
      <c r="I140" s="7"/>
      <c r="J140" s="5" t="n">
        <f aca="false">IF(B140="","",Параметри!$B$4*(F140*INDEX(Параметри!$C$9:$C$12,B140)+G140*INDEX(Параметри!$D$9:$D$12,B140)))</f>
        <v>52</v>
      </c>
      <c r="K140" s="3" t="str">
        <f aca="false">IF(OR(I140="",J140=""),"",I140-J140)</f>
        <v/>
      </c>
      <c r="L140" s="4" t="s">
        <v>194</v>
      </c>
    </row>
    <row r="141" customFormat="false" ht="15" hidden="false" customHeight="false" outlineLevel="0" collapsed="false">
      <c r="A141" s="3" t="n">
        <v>89</v>
      </c>
      <c r="B141" s="5" t="n">
        <f aca="false">IFERROR(VLOOKUP(A141,Групи!$A$2:$E$26,5,FALSE()),"")</f>
        <v>2</v>
      </c>
      <c r="C141" s="4" t="s">
        <v>195</v>
      </c>
      <c r="D141" s="6" t="s">
        <v>111</v>
      </c>
      <c r="E141" s="6"/>
      <c r="F141" s="3" t="n">
        <v>1</v>
      </c>
      <c r="G141" s="3" t="n">
        <v>2</v>
      </c>
      <c r="H141" s="3" t="n">
        <f aca="false">F141+G141</f>
        <v>3</v>
      </c>
      <c r="I141" s="7"/>
      <c r="J141" s="5" t="n">
        <f aca="false">IF(B141="","",Параметри!$B$4*(F141*INDEX(Параметри!$C$9:$C$12,B141)+G141*INDEX(Параметри!$D$9:$D$12,B141)))</f>
        <v>50</v>
      </c>
      <c r="K141" s="3" t="str">
        <f aca="false">IF(OR(I141="",J141=""),"",I141-J141)</f>
        <v/>
      </c>
      <c r="L141" s="4"/>
    </row>
    <row r="142" customFormat="false" ht="15" hidden="false" customHeight="false" outlineLevel="0" collapsed="false">
      <c r="A142" s="3" t="n">
        <v>89</v>
      </c>
      <c r="B142" s="5" t="n">
        <f aca="false">IFERROR(VLOOKUP(A142,Групи!$A$2:$E$26,5,FALSE()),"")</f>
        <v>2</v>
      </c>
      <c r="C142" s="4" t="s">
        <v>175</v>
      </c>
      <c r="D142" s="6" t="s">
        <v>119</v>
      </c>
      <c r="E142" s="6"/>
      <c r="F142" s="3" t="n">
        <v>1</v>
      </c>
      <c r="G142" s="3" t="n">
        <v>1</v>
      </c>
      <c r="H142" s="3" t="n">
        <f aca="false">F142+G142</f>
        <v>2</v>
      </c>
      <c r="I142" s="7"/>
      <c r="J142" s="5" t="n">
        <f aca="false">IF(B142="","",Параметри!$B$4*(F142*INDEX(Параметри!$C$9:$C$12,B142)+G142*INDEX(Параметри!$D$9:$D$12,B142)))</f>
        <v>34</v>
      </c>
      <c r="K142" s="3" t="str">
        <f aca="false">IF(OR(I142="",J142=""),"",I142-J142)</f>
        <v/>
      </c>
      <c r="L142" s="4"/>
    </row>
    <row r="143" customFormat="false" ht="15" hidden="false" customHeight="false" outlineLevel="0" collapsed="false">
      <c r="A143" s="3" t="n">
        <v>89</v>
      </c>
      <c r="B143" s="5" t="n">
        <f aca="false">IFERROR(VLOOKUP(A143,Групи!$A$2:$E$26,5,FALSE()),"")</f>
        <v>2</v>
      </c>
      <c r="C143" s="4" t="s">
        <v>176</v>
      </c>
      <c r="D143" s="6" t="s">
        <v>104</v>
      </c>
      <c r="E143" s="6"/>
      <c r="F143" s="3" t="n">
        <v>0</v>
      </c>
      <c r="G143" s="3" t="n">
        <v>1</v>
      </c>
      <c r="H143" s="3" t="n">
        <f aca="false">F143+G143</f>
        <v>1</v>
      </c>
      <c r="I143" s="7"/>
      <c r="J143" s="5" t="n">
        <f aca="false">IF(B143="","",Параметри!$B$4*(F143*INDEX(Параметри!$C$9:$C$12,B143)+G143*INDEX(Параметри!$D$9:$D$12,B143)))</f>
        <v>16</v>
      </c>
      <c r="K143" s="3" t="str">
        <f aca="false">IF(OR(I143="",J143=""),"",I143-J143)</f>
        <v/>
      </c>
      <c r="L143" s="4"/>
    </row>
    <row r="144" customFormat="false" ht="15" hidden="false" customHeight="false" outlineLevel="0" collapsed="false">
      <c r="A144" s="3" t="n">
        <v>89</v>
      </c>
      <c r="B144" s="5" t="n">
        <f aca="false">IFERROR(VLOOKUP(A144,Групи!$A$2:$E$26,5,FALSE()),"")</f>
        <v>2</v>
      </c>
      <c r="C144" s="4" t="s">
        <v>177</v>
      </c>
      <c r="D144" s="6" t="s">
        <v>130</v>
      </c>
      <c r="E144" s="6"/>
      <c r="F144" s="3" t="n">
        <v>1</v>
      </c>
      <c r="G144" s="3" t="n">
        <v>1</v>
      </c>
      <c r="H144" s="3" t="n">
        <f aca="false">F144+G144</f>
        <v>2</v>
      </c>
      <c r="I144" s="7"/>
      <c r="J144" s="5" t="n">
        <f aca="false">IF(B144="","",Параметри!$B$4*(F144*INDEX(Параметри!$C$9:$C$12,B144)+G144*INDEX(Параметри!$D$9:$D$12,B144)))</f>
        <v>34</v>
      </c>
      <c r="K144" s="3" t="str">
        <f aca="false">IF(OR(I144="",J144=""),"",I144-J144)</f>
        <v/>
      </c>
      <c r="L144" s="4"/>
    </row>
    <row r="145" customFormat="false" ht="15" hidden="false" customHeight="false" outlineLevel="0" collapsed="false">
      <c r="A145" s="3" t="n">
        <v>89</v>
      </c>
      <c r="B145" s="5" t="n">
        <f aca="false">IFERROR(VLOOKUP(A145,Групи!$A$2:$E$26,5,FALSE()),"")</f>
        <v>2</v>
      </c>
      <c r="C145" s="4" t="s">
        <v>178</v>
      </c>
      <c r="D145" s="6" t="s">
        <v>120</v>
      </c>
      <c r="E145" s="6"/>
      <c r="F145" s="3" t="n">
        <v>1</v>
      </c>
      <c r="G145" s="3" t="n">
        <v>1</v>
      </c>
      <c r="H145" s="3" t="n">
        <f aca="false">F145+G145</f>
        <v>2</v>
      </c>
      <c r="I145" s="7"/>
      <c r="J145" s="5" t="n">
        <f aca="false">IF(B145="","",Параметри!$B$4*(F145*INDEX(Параметри!$C$9:$C$12,B145)+G145*INDEX(Параметри!$D$9:$D$12,B145)))</f>
        <v>34</v>
      </c>
      <c r="K145" s="3" t="str">
        <f aca="false">IF(OR(I145="",J145=""),"",I145-J145)</f>
        <v/>
      </c>
      <c r="L145" s="4"/>
    </row>
    <row r="146" customFormat="false" ht="15" hidden="false" customHeight="false" outlineLevel="0" collapsed="false">
      <c r="A146" s="3" t="n">
        <v>89</v>
      </c>
      <c r="B146" s="5" t="n">
        <f aca="false">IFERROR(VLOOKUP(A146,Групи!$A$2:$E$26,5,FALSE()),"")</f>
        <v>2</v>
      </c>
      <c r="C146" s="4" t="s">
        <v>94</v>
      </c>
      <c r="D146" s="6" t="s">
        <v>138</v>
      </c>
      <c r="E146" s="6"/>
      <c r="F146" s="3" t="n">
        <v>1</v>
      </c>
      <c r="G146" s="3" t="n">
        <v>1</v>
      </c>
      <c r="H146" s="3" t="n">
        <f aca="false">F146+G146</f>
        <v>2</v>
      </c>
      <c r="I146" s="7"/>
      <c r="J146" s="5" t="n">
        <f aca="false">IF(B146="","",Параметри!$B$4*(F146*INDEX(Параметри!$C$9:$C$12,B146)+G146*INDEX(Параметри!$D$9:$D$12,B146)))</f>
        <v>34</v>
      </c>
      <c r="K146" s="3" t="str">
        <f aca="false">IF(OR(I146="",J146=""),"",I146-J146)</f>
        <v/>
      </c>
      <c r="L146" s="4" t="s">
        <v>95</v>
      </c>
    </row>
    <row r="147" customFormat="false" ht="15" hidden="false" customHeight="false" outlineLevel="0" collapsed="false">
      <c r="A147" s="3" t="n">
        <v>89</v>
      </c>
      <c r="B147" s="5" t="n">
        <f aca="false">IFERROR(VLOOKUP(A147,Групи!$A$2:$E$26,5,FALSE()),"")</f>
        <v>2</v>
      </c>
      <c r="C147" s="4" t="s">
        <v>180</v>
      </c>
      <c r="D147" s="6" t="s">
        <v>181</v>
      </c>
      <c r="E147" s="6"/>
      <c r="F147" s="3" t="n">
        <v>4</v>
      </c>
      <c r="G147" s="3" t="n">
        <v>0</v>
      </c>
      <c r="H147" s="3" t="n">
        <f aca="false">F147+G147</f>
        <v>4</v>
      </c>
      <c r="I147" s="7"/>
      <c r="J147" s="5" t="n">
        <f aca="false">IF(B147="","",Параметри!$B$4*(F147*INDEX(Параметри!$C$9:$C$12,B147)+G147*INDEX(Параметри!$D$9:$D$12,B147)))</f>
        <v>72</v>
      </c>
      <c r="K147" s="3" t="str">
        <f aca="false">IF(OR(I147="",J147=""),"",I147-J147)</f>
        <v/>
      </c>
      <c r="L147" s="4" t="s">
        <v>182</v>
      </c>
    </row>
    <row r="148" customFormat="false" ht="15" hidden="false" customHeight="false" outlineLevel="0" collapsed="false">
      <c r="A148" s="3" t="n">
        <v>89</v>
      </c>
      <c r="B148" s="5" t="n">
        <f aca="false">IFERROR(VLOOKUP(A148,Групи!$A$2:$E$26,5,FALSE()),"")</f>
        <v>2</v>
      </c>
      <c r="C148" s="4" t="s">
        <v>183</v>
      </c>
      <c r="D148" s="6" t="s">
        <v>184</v>
      </c>
      <c r="E148" s="6"/>
      <c r="F148" s="3" t="n">
        <v>2</v>
      </c>
      <c r="G148" s="3" t="n">
        <v>1</v>
      </c>
      <c r="H148" s="3" t="n">
        <f aca="false">F148+G148</f>
        <v>3</v>
      </c>
      <c r="I148" s="7"/>
      <c r="J148" s="5" t="n">
        <f aca="false">IF(B148="","",Параметри!$B$4*(F148*INDEX(Параметри!$C$9:$C$12,B148)+G148*INDEX(Параметри!$D$9:$D$12,B148)))</f>
        <v>52</v>
      </c>
      <c r="K148" s="3" t="str">
        <f aca="false">IF(OR(I148="",J148=""),"",I148-J148)</f>
        <v/>
      </c>
      <c r="L148" s="4"/>
    </row>
    <row r="149" customFormat="false" ht="23.85" hidden="false" customHeight="false" outlineLevel="0" collapsed="false">
      <c r="A149" s="3" t="n">
        <v>89</v>
      </c>
      <c r="B149" s="5" t="n">
        <f aca="false">IFERROR(VLOOKUP(A149,Групи!$A$2:$E$26,5,FALSE()),"")</f>
        <v>2</v>
      </c>
      <c r="C149" s="4" t="s">
        <v>185</v>
      </c>
      <c r="D149" s="6" t="s">
        <v>99</v>
      </c>
      <c r="E149" s="6"/>
      <c r="F149" s="3" t="n">
        <v>1</v>
      </c>
      <c r="G149" s="3" t="n">
        <v>1</v>
      </c>
      <c r="H149" s="3" t="n">
        <f aca="false">F149+G149</f>
        <v>2</v>
      </c>
      <c r="I149" s="7"/>
      <c r="J149" s="5" t="n">
        <f aca="false">IF(B149="","",Параметри!$B$4*(F149*INDEX(Параметри!$C$9:$C$12,B149)+G149*INDEX(Параметри!$D$9:$D$12,B149)))</f>
        <v>34</v>
      </c>
      <c r="K149" s="3" t="str">
        <f aca="false">IF(OR(I149="",J149=""),"",I149-J149)</f>
        <v/>
      </c>
      <c r="L149" s="4"/>
    </row>
    <row r="150" customFormat="false" ht="15" hidden="false" customHeight="false" outlineLevel="0" collapsed="false">
      <c r="A150" s="3" t="n">
        <v>89</v>
      </c>
      <c r="B150" s="5" t="n">
        <f aca="false">IFERROR(VLOOKUP(A150,Групи!$A$2:$E$26,5,FALSE()),"")</f>
        <v>2</v>
      </c>
      <c r="C150" s="4" t="s">
        <v>186</v>
      </c>
      <c r="D150" s="6" t="s">
        <v>187</v>
      </c>
      <c r="E150" s="6" t="s">
        <v>188</v>
      </c>
      <c r="F150" s="3" t="n">
        <v>1</v>
      </c>
      <c r="G150" s="3" t="n">
        <v>1</v>
      </c>
      <c r="H150" s="3" t="n">
        <f aca="false">F150+G150</f>
        <v>2</v>
      </c>
      <c r="I150" s="7"/>
      <c r="J150" s="5" t="n">
        <f aca="false">IF(B150="","",Параметри!$B$4*(F150*INDEX(Параметри!$C$9:$C$12,B150)+G150*INDEX(Параметри!$D$9:$D$12,B150)))</f>
        <v>34</v>
      </c>
      <c r="K150" s="3" t="str">
        <f aca="false">IF(OR(I150="",J150=""),"",I150-J150)</f>
        <v/>
      </c>
      <c r="L150" s="4" t="s">
        <v>129</v>
      </c>
    </row>
    <row r="151" customFormat="false" ht="15" hidden="false" customHeight="false" outlineLevel="0" collapsed="false">
      <c r="A151" s="3" t="n">
        <v>89</v>
      </c>
      <c r="B151" s="5" t="n">
        <f aca="false">IFERROR(VLOOKUP(A151,Групи!$A$2:$E$26,5,FALSE()),"")</f>
        <v>2</v>
      </c>
      <c r="C151" s="4" t="s">
        <v>189</v>
      </c>
      <c r="D151" s="6" t="s">
        <v>165</v>
      </c>
      <c r="E151" s="6"/>
      <c r="F151" s="3" t="n">
        <v>1</v>
      </c>
      <c r="G151" s="3" t="n">
        <v>2</v>
      </c>
      <c r="H151" s="3" t="n">
        <f aca="false">F151+G151</f>
        <v>3</v>
      </c>
      <c r="I151" s="7"/>
      <c r="J151" s="5" t="n">
        <f aca="false">IF(B151="","",Параметри!$B$4*(F151*INDEX(Параметри!$C$9:$C$12,B151)+G151*INDEX(Параметри!$D$9:$D$12,B151)))</f>
        <v>50</v>
      </c>
      <c r="K151" s="3" t="str">
        <f aca="false">IF(OR(I151="",J151=""),"",I151-J151)</f>
        <v/>
      </c>
      <c r="L151" s="4"/>
    </row>
    <row r="152" customFormat="false" ht="15" hidden="false" customHeight="false" outlineLevel="0" collapsed="false">
      <c r="A152" s="3" t="n">
        <v>89</v>
      </c>
      <c r="B152" s="5" t="n">
        <f aca="false">IFERROR(VLOOKUP(A152,Групи!$A$2:$E$26,5,FALSE()),"")</f>
        <v>2</v>
      </c>
      <c r="C152" s="4" t="s">
        <v>190</v>
      </c>
      <c r="D152" s="6" t="s">
        <v>165</v>
      </c>
      <c r="E152" s="6"/>
      <c r="F152" s="3" t="n">
        <v>1</v>
      </c>
      <c r="G152" s="3" t="n">
        <v>2</v>
      </c>
      <c r="H152" s="3" t="n">
        <f aca="false">F152+G152</f>
        <v>3</v>
      </c>
      <c r="I152" s="7"/>
      <c r="J152" s="5" t="n">
        <f aca="false">IF(B152="","",Параметри!$B$4*(F152*INDEX(Параметри!$C$9:$C$12,B152)+G152*INDEX(Параметри!$D$9:$D$12,B152)))</f>
        <v>50</v>
      </c>
      <c r="K152" s="3" t="str">
        <f aca="false">IF(OR(I152="",J152=""),"",I152-J152)</f>
        <v/>
      </c>
      <c r="L152" s="4"/>
    </row>
    <row r="153" customFormat="false" ht="15" hidden="false" customHeight="false" outlineLevel="0" collapsed="false">
      <c r="A153" s="3" t="n">
        <v>89</v>
      </c>
      <c r="B153" s="5" t="n">
        <f aca="false">IFERROR(VLOOKUP(A153,Групи!$A$2:$E$26,5,FALSE()),"")</f>
        <v>2</v>
      </c>
      <c r="C153" s="4" t="s">
        <v>191</v>
      </c>
      <c r="D153" s="6" t="s">
        <v>192</v>
      </c>
      <c r="E153" s="6"/>
      <c r="F153" s="3" t="n">
        <v>1</v>
      </c>
      <c r="G153" s="3" t="n">
        <v>2</v>
      </c>
      <c r="H153" s="3" t="n">
        <f aca="false">F153+G153</f>
        <v>3</v>
      </c>
      <c r="I153" s="7"/>
      <c r="J153" s="5" t="n">
        <f aca="false">IF(B153="","",Параметри!$B$4*(F153*INDEX(Параметри!$C$9:$C$12,B153)+G153*INDEX(Параметри!$D$9:$D$12,B153)))</f>
        <v>50</v>
      </c>
      <c r="K153" s="3" t="str">
        <f aca="false">IF(OR(I153="",J153=""),"",I153-J153)</f>
        <v/>
      </c>
      <c r="L153" s="4"/>
    </row>
    <row r="154" customFormat="false" ht="15" hidden="false" customHeight="false" outlineLevel="0" collapsed="false">
      <c r="A154" s="3" t="n">
        <v>89</v>
      </c>
      <c r="B154" s="5" t="n">
        <f aca="false">IFERROR(VLOOKUP(A154,Групи!$A$2:$E$26,5,FALSE()),"")</f>
        <v>2</v>
      </c>
      <c r="C154" s="4" t="s">
        <v>193</v>
      </c>
      <c r="D154" s="6" t="s">
        <v>106</v>
      </c>
      <c r="E154" s="6"/>
      <c r="F154" s="3" t="n">
        <v>2</v>
      </c>
      <c r="G154" s="3" t="n">
        <v>1</v>
      </c>
      <c r="H154" s="3" t="n">
        <f aca="false">F154+G154</f>
        <v>3</v>
      </c>
      <c r="I154" s="7"/>
      <c r="J154" s="5" t="n">
        <f aca="false">IF(B154="","",Параметри!$B$4*(F154*INDEX(Параметри!$C$9:$C$12,B154)+G154*INDEX(Параметри!$D$9:$D$12,B154)))</f>
        <v>52</v>
      </c>
      <c r="K154" s="3" t="str">
        <f aca="false">IF(OR(I154="",J154=""),"",I154-J154)</f>
        <v/>
      </c>
      <c r="L154" s="4" t="s">
        <v>194</v>
      </c>
    </row>
    <row r="155" customFormat="false" ht="15" hidden="false" customHeight="false" outlineLevel="0" collapsed="false">
      <c r="A155" s="3" t="n">
        <v>90</v>
      </c>
      <c r="B155" s="5" t="n">
        <f aca="false">IFERROR(VLOOKUP(A155,Групи!$A$2:$E$26,5,FALSE()),"")</f>
        <v>2</v>
      </c>
      <c r="C155" s="4" t="s">
        <v>175</v>
      </c>
      <c r="D155" s="6" t="s">
        <v>119</v>
      </c>
      <c r="E155" s="6"/>
      <c r="F155" s="3" t="n">
        <v>1</v>
      </c>
      <c r="G155" s="3" t="n">
        <v>1</v>
      </c>
      <c r="H155" s="3" t="n">
        <f aca="false">F155+G155</f>
        <v>2</v>
      </c>
      <c r="I155" s="7"/>
      <c r="J155" s="5" t="n">
        <f aca="false">IF(B155="","",Параметри!$B$4*(F155*INDEX(Параметри!$C$9:$C$12,B155)+G155*INDEX(Параметри!$D$9:$D$12,B155)))</f>
        <v>34</v>
      </c>
      <c r="K155" s="3" t="str">
        <f aca="false">IF(OR(I155="",J155=""),"",I155-J155)</f>
        <v/>
      </c>
      <c r="L155" s="4"/>
    </row>
    <row r="156" customFormat="false" ht="15" hidden="false" customHeight="false" outlineLevel="0" collapsed="false">
      <c r="A156" s="3" t="n">
        <v>90</v>
      </c>
      <c r="B156" s="5" t="n">
        <f aca="false">IFERROR(VLOOKUP(A156,Групи!$A$2:$E$26,5,FALSE()),"")</f>
        <v>2</v>
      </c>
      <c r="C156" s="4" t="s">
        <v>196</v>
      </c>
      <c r="D156" s="6" t="s">
        <v>123</v>
      </c>
      <c r="E156" s="6"/>
      <c r="F156" s="3" t="n">
        <v>1</v>
      </c>
      <c r="G156" s="3" t="n">
        <v>1</v>
      </c>
      <c r="H156" s="3" t="n">
        <f aca="false">F156+G156</f>
        <v>2</v>
      </c>
      <c r="I156" s="7"/>
      <c r="J156" s="5" t="n">
        <f aca="false">IF(B156="","",Параметри!$B$4*(F156*INDEX(Параметри!$C$9:$C$12,B156)+G156*INDEX(Параметри!$D$9:$D$12,B156)))</f>
        <v>34</v>
      </c>
      <c r="K156" s="3" t="str">
        <f aca="false">IF(OR(I156="",J156=""),"",I156-J156)</f>
        <v/>
      </c>
      <c r="L156" s="4"/>
    </row>
    <row r="157" customFormat="false" ht="15" hidden="false" customHeight="false" outlineLevel="0" collapsed="false">
      <c r="A157" s="3" t="n">
        <v>90</v>
      </c>
      <c r="B157" s="5" t="n">
        <f aca="false">IFERROR(VLOOKUP(A157,Групи!$A$2:$E$26,5,FALSE()),"")</f>
        <v>2</v>
      </c>
      <c r="C157" s="4" t="s">
        <v>177</v>
      </c>
      <c r="D157" s="6" t="s">
        <v>130</v>
      </c>
      <c r="E157" s="6"/>
      <c r="F157" s="3" t="n">
        <v>1</v>
      </c>
      <c r="G157" s="3" t="n">
        <v>2</v>
      </c>
      <c r="H157" s="3" t="n">
        <f aca="false">F157+G157</f>
        <v>3</v>
      </c>
      <c r="I157" s="7"/>
      <c r="J157" s="5" t="n">
        <f aca="false">IF(B157="","",Параметри!$B$4*(F157*INDEX(Параметри!$C$9:$C$12,B157)+G157*INDEX(Параметри!$D$9:$D$12,B157)))</f>
        <v>50</v>
      </c>
      <c r="K157" s="3" t="str">
        <f aca="false">IF(OR(I157="",J157=""),"",I157-J157)</f>
        <v/>
      </c>
      <c r="L157" s="4"/>
    </row>
    <row r="158" customFormat="false" ht="15" hidden="false" customHeight="false" outlineLevel="0" collapsed="false">
      <c r="A158" s="3" t="n">
        <v>90</v>
      </c>
      <c r="B158" s="5" t="n">
        <f aca="false">IFERROR(VLOOKUP(A158,Групи!$A$2:$E$26,5,FALSE()),"")</f>
        <v>2</v>
      </c>
      <c r="C158" s="4" t="s">
        <v>178</v>
      </c>
      <c r="D158" s="6" t="s">
        <v>120</v>
      </c>
      <c r="E158" s="6"/>
      <c r="F158" s="3" t="n">
        <v>1</v>
      </c>
      <c r="G158" s="3" t="n">
        <v>1</v>
      </c>
      <c r="H158" s="3" t="n">
        <f aca="false">F158+G158</f>
        <v>2</v>
      </c>
      <c r="I158" s="7"/>
      <c r="J158" s="5" t="n">
        <f aca="false">IF(B158="","",Параметри!$B$4*(F158*INDEX(Параметри!$C$9:$C$12,B158)+G158*INDEX(Параметри!$D$9:$D$12,B158)))</f>
        <v>34</v>
      </c>
      <c r="K158" s="3" t="str">
        <f aca="false">IF(OR(I158="",J158=""),"",I158-J158)</f>
        <v/>
      </c>
      <c r="L158" s="4"/>
    </row>
    <row r="159" customFormat="false" ht="15" hidden="false" customHeight="false" outlineLevel="0" collapsed="false">
      <c r="A159" s="3" t="n">
        <v>90</v>
      </c>
      <c r="B159" s="5" t="n">
        <f aca="false">IFERROR(VLOOKUP(A159,Групи!$A$2:$E$26,5,FALSE()),"")</f>
        <v>2</v>
      </c>
      <c r="C159" s="4" t="s">
        <v>94</v>
      </c>
      <c r="D159" s="6" t="s">
        <v>198</v>
      </c>
      <c r="E159" s="6"/>
      <c r="F159" s="3" t="n">
        <v>1</v>
      </c>
      <c r="G159" s="3" t="n">
        <v>1</v>
      </c>
      <c r="H159" s="3" t="n">
        <f aca="false">F159+G159</f>
        <v>2</v>
      </c>
      <c r="I159" s="7"/>
      <c r="J159" s="5" t="n">
        <f aca="false">IF(B159="","",Параметри!$B$4*(F159*INDEX(Параметри!$C$9:$C$12,B159)+G159*INDEX(Параметри!$D$9:$D$12,B159)))</f>
        <v>34</v>
      </c>
      <c r="K159" s="3" t="str">
        <f aca="false">IF(OR(I159="",J159=""),"",I159-J159)</f>
        <v/>
      </c>
      <c r="L159" s="4" t="s">
        <v>95</v>
      </c>
    </row>
    <row r="160" customFormat="false" ht="15" hidden="false" customHeight="false" outlineLevel="0" collapsed="false">
      <c r="A160" s="3" t="n">
        <v>90</v>
      </c>
      <c r="B160" s="5" t="n">
        <f aca="false">IFERROR(VLOOKUP(A160,Групи!$A$2:$E$26,5,FALSE()),"")</f>
        <v>2</v>
      </c>
      <c r="C160" s="4" t="s">
        <v>180</v>
      </c>
      <c r="D160" s="6" t="s">
        <v>181</v>
      </c>
      <c r="E160" s="6"/>
      <c r="F160" s="3" t="n">
        <v>4</v>
      </c>
      <c r="G160" s="3" t="n">
        <v>0</v>
      </c>
      <c r="H160" s="3" t="n">
        <f aca="false">F160+G160</f>
        <v>4</v>
      </c>
      <c r="I160" s="7"/>
      <c r="J160" s="5" t="n">
        <f aca="false">IF(B160="","",Параметри!$B$4*(F160*INDEX(Параметри!$C$9:$C$12,B160)+G160*INDEX(Параметри!$D$9:$D$12,B160)))</f>
        <v>72</v>
      </c>
      <c r="K160" s="3" t="str">
        <f aca="false">IF(OR(I160="",J160=""),"",I160-J160)</f>
        <v/>
      </c>
      <c r="L160" s="4" t="s">
        <v>182</v>
      </c>
    </row>
    <row r="161" customFormat="false" ht="15" hidden="false" customHeight="false" outlineLevel="0" collapsed="false">
      <c r="A161" s="3" t="n">
        <v>90</v>
      </c>
      <c r="B161" s="5" t="n">
        <f aca="false">IFERROR(VLOOKUP(A161,Групи!$A$2:$E$26,5,FALSE()),"")</f>
        <v>2</v>
      </c>
      <c r="C161" s="4" t="s">
        <v>199</v>
      </c>
      <c r="D161" s="6" t="s">
        <v>168</v>
      </c>
      <c r="E161" s="6"/>
      <c r="F161" s="3" t="n">
        <v>1</v>
      </c>
      <c r="G161" s="3" t="n">
        <v>1</v>
      </c>
      <c r="H161" s="3" t="n">
        <f aca="false">F161+G161</f>
        <v>2</v>
      </c>
      <c r="I161" s="7"/>
      <c r="J161" s="5" t="n">
        <f aca="false">IF(B161="","",Параметри!$B$4*(F161*INDEX(Параметри!$C$9:$C$12,B161)+G161*INDEX(Параметри!$D$9:$D$12,B161)))</f>
        <v>34</v>
      </c>
      <c r="K161" s="3" t="str">
        <f aca="false">IF(OR(I161="",J161=""),"",I161-J161)</f>
        <v/>
      </c>
      <c r="L161" s="4"/>
    </row>
    <row r="162" customFormat="false" ht="15" hidden="false" customHeight="false" outlineLevel="0" collapsed="false">
      <c r="A162" s="3" t="n">
        <v>90</v>
      </c>
      <c r="B162" s="5" t="n">
        <f aca="false">IFERROR(VLOOKUP(A162,Групи!$A$2:$E$26,5,FALSE()),"")</f>
        <v>2</v>
      </c>
      <c r="C162" s="4" t="s">
        <v>183</v>
      </c>
      <c r="D162" s="6" t="s">
        <v>197</v>
      </c>
      <c r="E162" s="6"/>
      <c r="F162" s="3" t="n">
        <v>1</v>
      </c>
      <c r="G162" s="3" t="n">
        <v>2</v>
      </c>
      <c r="H162" s="3" t="n">
        <f aca="false">F162+G162</f>
        <v>3</v>
      </c>
      <c r="I162" s="7"/>
      <c r="J162" s="5" t="n">
        <f aca="false">IF(B162="","",Параметри!$B$4*(F162*INDEX(Параметри!$C$9:$C$12,B162)+G162*INDEX(Параметри!$D$9:$D$12,B162)))</f>
        <v>50</v>
      </c>
      <c r="K162" s="3" t="str">
        <f aca="false">IF(OR(I162="",J162=""),"",I162-J162)</f>
        <v/>
      </c>
      <c r="L162" s="4"/>
    </row>
    <row r="163" customFormat="false" ht="15" hidden="false" customHeight="false" outlineLevel="0" collapsed="false">
      <c r="A163" s="3" t="n">
        <v>90</v>
      </c>
      <c r="B163" s="5" t="n">
        <f aca="false">IFERROR(VLOOKUP(A163,Групи!$A$2:$E$26,5,FALSE()),"")</f>
        <v>2</v>
      </c>
      <c r="C163" s="4" t="s">
        <v>200</v>
      </c>
      <c r="D163" s="6" t="s">
        <v>143</v>
      </c>
      <c r="E163" s="6"/>
      <c r="F163" s="3" t="n">
        <v>2</v>
      </c>
      <c r="G163" s="3" t="n">
        <v>2</v>
      </c>
      <c r="H163" s="3" t="n">
        <f aca="false">F163+G163</f>
        <v>4</v>
      </c>
      <c r="I163" s="7"/>
      <c r="J163" s="5" t="n">
        <f aca="false">IF(B163="","",Параметри!$B$4*(F163*INDEX(Параметри!$C$9:$C$12,B163)+G163*INDEX(Параметри!$D$9:$D$12,B163)))</f>
        <v>68</v>
      </c>
      <c r="K163" s="3" t="str">
        <f aca="false">IF(OR(I163="",J163=""),"",I163-J163)</f>
        <v/>
      </c>
      <c r="L163" s="4"/>
    </row>
    <row r="164" customFormat="false" ht="15" hidden="false" customHeight="false" outlineLevel="0" collapsed="false">
      <c r="A164" s="3" t="n">
        <v>90</v>
      </c>
      <c r="B164" s="5" t="n">
        <f aca="false">IFERROR(VLOOKUP(A164,Групи!$A$2:$E$26,5,FALSE()),"")</f>
        <v>2</v>
      </c>
      <c r="C164" s="4" t="s">
        <v>186</v>
      </c>
      <c r="D164" s="6" t="s">
        <v>187</v>
      </c>
      <c r="E164" s="6" t="s">
        <v>188</v>
      </c>
      <c r="F164" s="3" t="n">
        <v>0</v>
      </c>
      <c r="G164" s="3" t="n">
        <v>1</v>
      </c>
      <c r="H164" s="3" t="n">
        <f aca="false">F164+G164</f>
        <v>1</v>
      </c>
      <c r="I164" s="7"/>
      <c r="J164" s="5" t="n">
        <f aca="false">IF(B164="","",Параметри!$B$4*(F164*INDEX(Параметри!$C$9:$C$12,B164)+G164*INDEX(Параметри!$D$9:$D$12,B164)))</f>
        <v>16</v>
      </c>
      <c r="K164" s="3" t="str">
        <f aca="false">IF(OR(I164="",J164=""),"",I164-J164)</f>
        <v/>
      </c>
      <c r="L164" s="4" t="s">
        <v>129</v>
      </c>
    </row>
    <row r="165" customFormat="false" ht="15" hidden="false" customHeight="false" outlineLevel="0" collapsed="false">
      <c r="A165" s="3" t="n">
        <v>90</v>
      </c>
      <c r="B165" s="5" t="n">
        <f aca="false">IFERROR(VLOOKUP(A165,Групи!$A$2:$E$26,5,FALSE()),"")</f>
        <v>2</v>
      </c>
      <c r="C165" s="4" t="s">
        <v>189</v>
      </c>
      <c r="D165" s="6" t="s">
        <v>160</v>
      </c>
      <c r="E165" s="6"/>
      <c r="F165" s="3" t="n">
        <v>1</v>
      </c>
      <c r="G165" s="3" t="n">
        <v>2</v>
      </c>
      <c r="H165" s="3" t="n">
        <f aca="false">F165+G165</f>
        <v>3</v>
      </c>
      <c r="I165" s="7"/>
      <c r="J165" s="5" t="n">
        <f aca="false">IF(B165="","",Параметри!$B$4*(F165*INDEX(Параметри!$C$9:$C$12,B165)+G165*INDEX(Параметри!$D$9:$D$12,B165)))</f>
        <v>50</v>
      </c>
      <c r="K165" s="3" t="str">
        <f aca="false">IF(OR(I165="",J165=""),"",I165-J165)</f>
        <v/>
      </c>
      <c r="L165" s="4"/>
    </row>
    <row r="166" customFormat="false" ht="15" hidden="false" customHeight="false" outlineLevel="0" collapsed="false">
      <c r="A166" s="3" t="n">
        <v>90</v>
      </c>
      <c r="B166" s="5" t="n">
        <f aca="false">IFERROR(VLOOKUP(A166,Групи!$A$2:$E$26,5,FALSE()),"")</f>
        <v>2</v>
      </c>
      <c r="C166" s="4" t="s">
        <v>190</v>
      </c>
      <c r="D166" s="6" t="s">
        <v>165</v>
      </c>
      <c r="E166" s="6"/>
      <c r="F166" s="3" t="n">
        <v>1</v>
      </c>
      <c r="G166" s="3" t="n">
        <v>1</v>
      </c>
      <c r="H166" s="3" t="n">
        <f aca="false">F166+G166</f>
        <v>2</v>
      </c>
      <c r="I166" s="7"/>
      <c r="J166" s="5" t="n">
        <f aca="false">IF(B166="","",Параметри!$B$4*(F166*INDEX(Параметри!$C$9:$C$12,B166)+G166*INDEX(Параметри!$D$9:$D$12,B166)))</f>
        <v>34</v>
      </c>
      <c r="K166" s="3" t="str">
        <f aca="false">IF(OR(I166="",J166=""),"",I166-J166)</f>
        <v/>
      </c>
      <c r="L166" s="4"/>
    </row>
    <row r="167" customFormat="false" ht="15" hidden="false" customHeight="false" outlineLevel="0" collapsed="false">
      <c r="A167" s="3" t="n">
        <v>90</v>
      </c>
      <c r="B167" s="5" t="n">
        <f aca="false">IFERROR(VLOOKUP(A167,Групи!$A$2:$E$26,5,FALSE()),"")</f>
        <v>2</v>
      </c>
      <c r="C167" s="4" t="s">
        <v>191</v>
      </c>
      <c r="D167" s="6" t="s">
        <v>192</v>
      </c>
      <c r="E167" s="6"/>
      <c r="F167" s="3" t="n">
        <v>1</v>
      </c>
      <c r="G167" s="3" t="n">
        <v>1</v>
      </c>
      <c r="H167" s="3" t="n">
        <f aca="false">F167+G167</f>
        <v>2</v>
      </c>
      <c r="I167" s="7"/>
      <c r="J167" s="5" t="n">
        <f aca="false">IF(B167="","",Параметри!$B$4*(F167*INDEX(Параметри!$C$9:$C$12,B167)+G167*INDEX(Параметри!$D$9:$D$12,B167)))</f>
        <v>34</v>
      </c>
      <c r="K167" s="3" t="str">
        <f aca="false">IF(OR(I167="",J167=""),"",I167-J167)</f>
        <v/>
      </c>
      <c r="L167" s="4"/>
    </row>
    <row r="168" customFormat="false" ht="15" hidden="false" customHeight="false" outlineLevel="0" collapsed="false">
      <c r="A168" s="3" t="n">
        <v>90</v>
      </c>
      <c r="B168" s="5" t="n">
        <f aca="false">IFERROR(VLOOKUP(A168,Групи!$A$2:$E$26,5,FALSE()),"")</f>
        <v>2</v>
      </c>
      <c r="C168" s="4" t="s">
        <v>193</v>
      </c>
      <c r="D168" s="6" t="s">
        <v>147</v>
      </c>
      <c r="E168" s="6"/>
      <c r="F168" s="3" t="n">
        <v>2</v>
      </c>
      <c r="G168" s="3" t="n">
        <v>1</v>
      </c>
      <c r="H168" s="3" t="n">
        <f aca="false">F168+G168</f>
        <v>3</v>
      </c>
      <c r="I168" s="7"/>
      <c r="J168" s="5" t="n">
        <f aca="false">IF(B168="","",Параметри!$B$4*(F168*INDEX(Параметри!$C$9:$C$12,B168)+G168*INDEX(Параметри!$D$9:$D$12,B168)))</f>
        <v>52</v>
      </c>
      <c r="K168" s="3" t="str">
        <f aca="false">IF(OR(I168="",J168=""),"",I168-J168)</f>
        <v/>
      </c>
      <c r="L168" s="4" t="s">
        <v>194</v>
      </c>
    </row>
    <row r="169" customFormat="false" ht="15" hidden="false" customHeight="false" outlineLevel="0" collapsed="false">
      <c r="A169" s="3" t="n">
        <v>91</v>
      </c>
      <c r="B169" s="5" t="n">
        <f aca="false">IFERROR(VLOOKUP(A169,Групи!$A$2:$E$26,5,FALSE()),"")</f>
        <v>2</v>
      </c>
      <c r="C169" s="4" t="s">
        <v>175</v>
      </c>
      <c r="D169" s="6" t="s">
        <v>91</v>
      </c>
      <c r="E169" s="6"/>
      <c r="F169" s="3" t="n">
        <v>1</v>
      </c>
      <c r="G169" s="3" t="n">
        <v>1</v>
      </c>
      <c r="H169" s="3" t="n">
        <f aca="false">F169+G169</f>
        <v>2</v>
      </c>
      <c r="I169" s="7"/>
      <c r="J169" s="5" t="n">
        <f aca="false">IF(B169="","",Параметри!$B$4*(F169*INDEX(Параметри!$C$9:$C$12,B169)+G169*INDEX(Параметри!$D$9:$D$12,B169)))</f>
        <v>34</v>
      </c>
      <c r="K169" s="3" t="str">
        <f aca="false">IF(OR(I169="",J169=""),"",I169-J169)</f>
        <v/>
      </c>
      <c r="L169" s="4"/>
    </row>
    <row r="170" customFormat="false" ht="15" hidden="false" customHeight="false" outlineLevel="0" collapsed="false">
      <c r="A170" s="3" t="n">
        <v>91</v>
      </c>
      <c r="B170" s="5" t="n">
        <f aca="false">IFERROR(VLOOKUP(A170,Групи!$A$2:$E$26,5,FALSE()),"")</f>
        <v>2</v>
      </c>
      <c r="C170" s="4" t="s">
        <v>196</v>
      </c>
      <c r="D170" s="6" t="s">
        <v>197</v>
      </c>
      <c r="E170" s="6"/>
      <c r="F170" s="3" t="n">
        <v>1</v>
      </c>
      <c r="G170" s="3" t="n">
        <v>0</v>
      </c>
      <c r="H170" s="3" t="n">
        <f aca="false">F170+G170</f>
        <v>1</v>
      </c>
      <c r="I170" s="7"/>
      <c r="J170" s="5" t="n">
        <f aca="false">IF(B170="","",Параметри!$B$4*(F170*INDEX(Параметри!$C$9:$C$12,B170)+G170*INDEX(Параметри!$D$9:$D$12,B170)))</f>
        <v>18</v>
      </c>
      <c r="K170" s="3" t="str">
        <f aca="false">IF(OR(I170="",J170=""),"",I170-J170)</f>
        <v/>
      </c>
      <c r="L170" s="4"/>
    </row>
    <row r="171" customFormat="false" ht="15" hidden="false" customHeight="false" outlineLevel="0" collapsed="false">
      <c r="A171" s="3" t="n">
        <v>91</v>
      </c>
      <c r="B171" s="5" t="n">
        <f aca="false">IFERROR(VLOOKUP(A171,Групи!$A$2:$E$26,5,FALSE()),"")</f>
        <v>2</v>
      </c>
      <c r="C171" s="4" t="s">
        <v>176</v>
      </c>
      <c r="D171" s="6" t="s">
        <v>197</v>
      </c>
      <c r="E171" s="6"/>
      <c r="F171" s="3" t="n">
        <v>0</v>
      </c>
      <c r="G171" s="3" t="n">
        <v>2</v>
      </c>
      <c r="H171" s="3" t="n">
        <f aca="false">F171+G171</f>
        <v>2</v>
      </c>
      <c r="I171" s="7"/>
      <c r="J171" s="5" t="n">
        <f aca="false">IF(B171="","",Параметри!$B$4*(F171*INDEX(Параметри!$C$9:$C$12,B171)+G171*INDEX(Параметри!$D$9:$D$12,B171)))</f>
        <v>32</v>
      </c>
      <c r="K171" s="3" t="str">
        <f aca="false">IF(OR(I171="",J171=""),"",I171-J171)</f>
        <v/>
      </c>
      <c r="L171" s="4"/>
    </row>
    <row r="172" customFormat="false" ht="15" hidden="false" customHeight="false" outlineLevel="0" collapsed="false">
      <c r="A172" s="3" t="n">
        <v>91</v>
      </c>
      <c r="B172" s="5" t="n">
        <f aca="false">IFERROR(VLOOKUP(A172,Групи!$A$2:$E$26,5,FALSE()),"")</f>
        <v>2</v>
      </c>
      <c r="C172" s="4" t="s">
        <v>177</v>
      </c>
      <c r="D172" s="6" t="s">
        <v>130</v>
      </c>
      <c r="E172" s="6"/>
      <c r="F172" s="3" t="n">
        <v>1</v>
      </c>
      <c r="G172" s="3" t="n">
        <v>1</v>
      </c>
      <c r="H172" s="3" t="n">
        <f aca="false">F172+G172</f>
        <v>2</v>
      </c>
      <c r="I172" s="7"/>
      <c r="J172" s="5" t="n">
        <f aca="false">IF(B172="","",Параметри!$B$4*(F172*INDEX(Параметри!$C$9:$C$12,B172)+G172*INDEX(Параметри!$D$9:$D$12,B172)))</f>
        <v>34</v>
      </c>
      <c r="K172" s="3" t="str">
        <f aca="false">IF(OR(I172="",J172=""),"",I172-J172)</f>
        <v/>
      </c>
      <c r="L172" s="4"/>
    </row>
    <row r="173" customFormat="false" ht="15" hidden="false" customHeight="false" outlineLevel="0" collapsed="false">
      <c r="A173" s="3" t="n">
        <v>91</v>
      </c>
      <c r="B173" s="5" t="n">
        <f aca="false">IFERROR(VLOOKUP(A173,Групи!$A$2:$E$26,5,FALSE()),"")</f>
        <v>2</v>
      </c>
      <c r="C173" s="4" t="s">
        <v>178</v>
      </c>
      <c r="D173" s="6" t="s">
        <v>120</v>
      </c>
      <c r="E173" s="6"/>
      <c r="F173" s="3" t="n">
        <v>1</v>
      </c>
      <c r="G173" s="3" t="n">
        <v>1</v>
      </c>
      <c r="H173" s="3" t="n">
        <f aca="false">F173+G173</f>
        <v>2</v>
      </c>
      <c r="I173" s="7"/>
      <c r="J173" s="5" t="n">
        <f aca="false">IF(B173="","",Параметри!$B$4*(F173*INDEX(Параметри!$C$9:$C$12,B173)+G173*INDEX(Параметри!$D$9:$D$12,B173)))</f>
        <v>34</v>
      </c>
      <c r="K173" s="3" t="str">
        <f aca="false">IF(OR(I173="",J173=""),"",I173-J173)</f>
        <v/>
      </c>
      <c r="L173" s="4"/>
    </row>
    <row r="174" customFormat="false" ht="15" hidden="false" customHeight="false" outlineLevel="0" collapsed="false">
      <c r="A174" s="3" t="n">
        <v>91</v>
      </c>
      <c r="B174" s="5" t="n">
        <f aca="false">IFERROR(VLOOKUP(A174,Групи!$A$2:$E$26,5,FALSE()),"")</f>
        <v>2</v>
      </c>
      <c r="C174" s="4" t="s">
        <v>94</v>
      </c>
      <c r="D174" s="6" t="s">
        <v>197</v>
      </c>
      <c r="E174" s="6"/>
      <c r="F174" s="3" t="n">
        <v>1</v>
      </c>
      <c r="G174" s="3" t="n">
        <v>1</v>
      </c>
      <c r="H174" s="3" t="n">
        <f aca="false">F174+G174</f>
        <v>2</v>
      </c>
      <c r="I174" s="7"/>
      <c r="J174" s="5" t="n">
        <f aca="false">IF(B174="","",Параметри!$B$4*(F174*INDEX(Параметри!$C$9:$C$12,B174)+G174*INDEX(Параметри!$D$9:$D$12,B174)))</f>
        <v>34</v>
      </c>
      <c r="K174" s="3" t="str">
        <f aca="false">IF(OR(I174="",J174=""),"",I174-J174)</f>
        <v/>
      </c>
      <c r="L174" s="4" t="s">
        <v>95</v>
      </c>
    </row>
    <row r="175" customFormat="false" ht="15" hidden="false" customHeight="false" outlineLevel="0" collapsed="false">
      <c r="A175" s="3" t="n">
        <v>91</v>
      </c>
      <c r="B175" s="5" t="n">
        <f aca="false">IFERROR(VLOOKUP(A175,Групи!$A$2:$E$26,5,FALSE()),"")</f>
        <v>2</v>
      </c>
      <c r="C175" s="4" t="s">
        <v>180</v>
      </c>
      <c r="D175" s="6" t="s">
        <v>181</v>
      </c>
      <c r="E175" s="6"/>
      <c r="F175" s="3" t="n">
        <v>4</v>
      </c>
      <c r="G175" s="3" t="n">
        <v>0</v>
      </c>
      <c r="H175" s="3" t="n">
        <f aca="false">F175+G175</f>
        <v>4</v>
      </c>
      <c r="I175" s="7"/>
      <c r="J175" s="5" t="n">
        <f aca="false">IF(B175="","",Параметри!$B$4*(F175*INDEX(Параметри!$C$9:$C$12,B175)+G175*INDEX(Параметри!$D$9:$D$12,B175)))</f>
        <v>72</v>
      </c>
      <c r="K175" s="3" t="str">
        <f aca="false">IF(OR(I175="",J175=""),"",I175-J175)</f>
        <v/>
      </c>
      <c r="L175" s="4" t="s">
        <v>182</v>
      </c>
    </row>
    <row r="176" customFormat="false" ht="15" hidden="false" customHeight="false" outlineLevel="0" collapsed="false">
      <c r="A176" s="3" t="n">
        <v>91</v>
      </c>
      <c r="B176" s="5" t="n">
        <f aca="false">IFERROR(VLOOKUP(A176,Групи!$A$2:$E$26,5,FALSE()),"")</f>
        <v>2</v>
      </c>
      <c r="C176" s="4" t="s">
        <v>199</v>
      </c>
      <c r="D176" s="6" t="s">
        <v>168</v>
      </c>
      <c r="E176" s="6"/>
      <c r="F176" s="3" t="n">
        <v>1</v>
      </c>
      <c r="G176" s="3" t="n">
        <v>1</v>
      </c>
      <c r="H176" s="3" t="n">
        <f aca="false">F176+G176</f>
        <v>2</v>
      </c>
      <c r="I176" s="7"/>
      <c r="J176" s="5" t="n">
        <f aca="false">IF(B176="","",Параметри!$B$4*(F176*INDEX(Параметри!$C$9:$C$12,B176)+G176*INDEX(Параметри!$D$9:$D$12,B176)))</f>
        <v>34</v>
      </c>
      <c r="K176" s="3" t="str">
        <f aca="false">IF(OR(I176="",J176=""),"",I176-J176)</f>
        <v/>
      </c>
      <c r="L176" s="4"/>
    </row>
    <row r="177" customFormat="false" ht="15" hidden="false" customHeight="false" outlineLevel="0" collapsed="false">
      <c r="A177" s="3" t="n">
        <v>91</v>
      </c>
      <c r="B177" s="5" t="n">
        <f aca="false">IFERROR(VLOOKUP(A177,Групи!$A$2:$E$26,5,FALSE()),"")</f>
        <v>2</v>
      </c>
      <c r="C177" s="4" t="s">
        <v>183</v>
      </c>
      <c r="D177" s="6" t="s">
        <v>197</v>
      </c>
      <c r="E177" s="6"/>
      <c r="F177" s="3" t="n">
        <v>1</v>
      </c>
      <c r="G177" s="3" t="n">
        <v>2</v>
      </c>
      <c r="H177" s="3" t="n">
        <f aca="false">F177+G177</f>
        <v>3</v>
      </c>
      <c r="I177" s="7"/>
      <c r="J177" s="5" t="n">
        <f aca="false">IF(B177="","",Параметри!$B$4*(F177*INDEX(Параметри!$C$9:$C$12,B177)+G177*INDEX(Параметри!$D$9:$D$12,B177)))</f>
        <v>50</v>
      </c>
      <c r="K177" s="3" t="str">
        <f aca="false">IF(OR(I177="",J177=""),"",I177-J177)</f>
        <v/>
      </c>
      <c r="L177" s="4"/>
    </row>
    <row r="178" customFormat="false" ht="15" hidden="false" customHeight="false" outlineLevel="0" collapsed="false">
      <c r="A178" s="3" t="n">
        <v>91</v>
      </c>
      <c r="B178" s="5" t="n">
        <f aca="false">IFERROR(VLOOKUP(A178,Групи!$A$2:$E$26,5,FALSE()),"")</f>
        <v>2</v>
      </c>
      <c r="C178" s="4" t="s">
        <v>200</v>
      </c>
      <c r="D178" s="6" t="s">
        <v>143</v>
      </c>
      <c r="E178" s="6"/>
      <c r="F178" s="3" t="n">
        <v>2</v>
      </c>
      <c r="G178" s="3" t="n">
        <v>2</v>
      </c>
      <c r="H178" s="3" t="n">
        <f aca="false">F178+G178</f>
        <v>4</v>
      </c>
      <c r="I178" s="7"/>
      <c r="J178" s="5" t="n">
        <f aca="false">IF(B178="","",Параметри!$B$4*(F178*INDEX(Параметри!$C$9:$C$12,B178)+G178*INDEX(Параметри!$D$9:$D$12,B178)))</f>
        <v>68</v>
      </c>
      <c r="K178" s="3" t="str">
        <f aca="false">IF(OR(I178="",J178=""),"",I178-J178)</f>
        <v/>
      </c>
      <c r="L178" s="4"/>
    </row>
    <row r="179" customFormat="false" ht="15" hidden="false" customHeight="false" outlineLevel="0" collapsed="false">
      <c r="A179" s="3" t="n">
        <v>91</v>
      </c>
      <c r="B179" s="5" t="n">
        <f aca="false">IFERROR(VLOOKUP(A179,Групи!$A$2:$E$26,5,FALSE()),"")</f>
        <v>2</v>
      </c>
      <c r="C179" s="4" t="s">
        <v>186</v>
      </c>
      <c r="D179" s="6" t="s">
        <v>187</v>
      </c>
      <c r="E179" s="6" t="s">
        <v>188</v>
      </c>
      <c r="F179" s="3" t="n">
        <v>1</v>
      </c>
      <c r="G179" s="3" t="n">
        <v>1</v>
      </c>
      <c r="H179" s="3" t="n">
        <f aca="false">F179+G179</f>
        <v>2</v>
      </c>
      <c r="I179" s="7"/>
      <c r="J179" s="5" t="n">
        <f aca="false">IF(B179="","",Параметри!$B$4*(F179*INDEX(Параметри!$C$9:$C$12,B179)+G179*INDEX(Параметри!$D$9:$D$12,B179)))</f>
        <v>34</v>
      </c>
      <c r="K179" s="3" t="str">
        <f aca="false">IF(OR(I179="",J179=""),"",I179-J179)</f>
        <v/>
      </c>
      <c r="L179" s="4" t="s">
        <v>129</v>
      </c>
    </row>
    <row r="180" customFormat="false" ht="15" hidden="false" customHeight="false" outlineLevel="0" collapsed="false">
      <c r="A180" s="3" t="n">
        <v>91</v>
      </c>
      <c r="B180" s="5" t="n">
        <f aca="false">IFERROR(VLOOKUP(A180,Групи!$A$2:$E$26,5,FALSE()),"")</f>
        <v>2</v>
      </c>
      <c r="C180" s="4" t="s">
        <v>189</v>
      </c>
      <c r="D180" s="6" t="s">
        <v>165</v>
      </c>
      <c r="E180" s="6"/>
      <c r="F180" s="3" t="n">
        <v>2</v>
      </c>
      <c r="G180" s="3" t="n">
        <v>1</v>
      </c>
      <c r="H180" s="3" t="n">
        <f aca="false">F180+G180</f>
        <v>3</v>
      </c>
      <c r="I180" s="7"/>
      <c r="J180" s="5" t="n">
        <f aca="false">IF(B180="","",Параметри!$B$4*(F180*INDEX(Параметри!$C$9:$C$12,B180)+G180*INDEX(Параметри!$D$9:$D$12,B180)))</f>
        <v>52</v>
      </c>
      <c r="K180" s="3" t="str">
        <f aca="false">IF(OR(I180="",J180=""),"",I180-J180)</f>
        <v/>
      </c>
      <c r="L180" s="4"/>
    </row>
    <row r="181" customFormat="false" ht="15" hidden="false" customHeight="false" outlineLevel="0" collapsed="false">
      <c r="A181" s="3" t="n">
        <v>91</v>
      </c>
      <c r="B181" s="5" t="n">
        <f aca="false">IFERROR(VLOOKUP(A181,Групи!$A$2:$E$26,5,FALSE()),"")</f>
        <v>2</v>
      </c>
      <c r="C181" s="4" t="s">
        <v>190</v>
      </c>
      <c r="D181" s="6" t="s">
        <v>108</v>
      </c>
      <c r="E181" s="6"/>
      <c r="F181" s="3" t="n">
        <v>0</v>
      </c>
      <c r="G181" s="3" t="n">
        <v>1</v>
      </c>
      <c r="H181" s="3" t="n">
        <f aca="false">F181+G181</f>
        <v>1</v>
      </c>
      <c r="I181" s="7"/>
      <c r="J181" s="5" t="n">
        <f aca="false">IF(B181="","",Параметри!$B$4*(F181*INDEX(Параметри!$C$9:$C$12,B181)+G181*INDEX(Параметри!$D$9:$D$12,B181)))</f>
        <v>16</v>
      </c>
      <c r="K181" s="3" t="str">
        <f aca="false">IF(OR(I181="",J181=""),"",I181-J181)</f>
        <v/>
      </c>
      <c r="L181" s="4"/>
    </row>
    <row r="182" customFormat="false" ht="15" hidden="false" customHeight="false" outlineLevel="0" collapsed="false">
      <c r="A182" s="3" t="n">
        <v>91</v>
      </c>
      <c r="B182" s="5" t="n">
        <f aca="false">IFERROR(VLOOKUP(A182,Групи!$A$2:$E$26,5,FALSE()),"")</f>
        <v>2</v>
      </c>
      <c r="C182" s="4" t="s">
        <v>191</v>
      </c>
      <c r="D182" s="6" t="s">
        <v>192</v>
      </c>
      <c r="E182" s="6"/>
      <c r="F182" s="3" t="n">
        <v>1</v>
      </c>
      <c r="G182" s="3" t="n">
        <v>1</v>
      </c>
      <c r="H182" s="3" t="n">
        <f aca="false">F182+G182</f>
        <v>2</v>
      </c>
      <c r="I182" s="7"/>
      <c r="J182" s="5" t="n">
        <f aca="false">IF(B182="","",Параметри!$B$4*(F182*INDEX(Параметри!$C$9:$C$12,B182)+G182*INDEX(Параметри!$D$9:$D$12,B182)))</f>
        <v>34</v>
      </c>
      <c r="K182" s="3" t="str">
        <f aca="false">IF(OR(I182="",J182=""),"",I182-J182)</f>
        <v/>
      </c>
      <c r="L182" s="4"/>
    </row>
    <row r="183" customFormat="false" ht="15" hidden="false" customHeight="false" outlineLevel="0" collapsed="false">
      <c r="A183" s="3" t="n">
        <v>91</v>
      </c>
      <c r="B183" s="5" t="n">
        <f aca="false">IFERROR(VLOOKUP(A183,Групи!$A$2:$E$26,5,FALSE()),"")</f>
        <v>2</v>
      </c>
      <c r="C183" s="4" t="s">
        <v>193</v>
      </c>
      <c r="D183" s="6" t="s">
        <v>147</v>
      </c>
      <c r="E183" s="6"/>
      <c r="F183" s="3" t="n">
        <v>1</v>
      </c>
      <c r="G183" s="3" t="n">
        <v>2</v>
      </c>
      <c r="H183" s="3" t="n">
        <f aca="false">F183+G183</f>
        <v>3</v>
      </c>
      <c r="I183" s="7"/>
      <c r="J183" s="5" t="n">
        <f aca="false">IF(B183="","",Параметри!$B$4*(F183*INDEX(Параметри!$C$9:$C$12,B183)+G183*INDEX(Параметри!$D$9:$D$12,B183)))</f>
        <v>50</v>
      </c>
      <c r="K183" s="3" t="str">
        <f aca="false">IF(OR(I183="",J183=""),"",I183-J183)</f>
        <v/>
      </c>
      <c r="L183" s="4" t="s">
        <v>194</v>
      </c>
    </row>
    <row r="184" customFormat="false" ht="15" hidden="false" customHeight="false" outlineLevel="0" collapsed="false">
      <c r="A184" s="3" t="n">
        <v>92</v>
      </c>
      <c r="B184" s="5" t="n">
        <f aca="false">IFERROR(VLOOKUP(A184,Групи!$A$2:$E$26,5,FALSE()),"")</f>
        <v>1</v>
      </c>
      <c r="C184" s="4" t="s">
        <v>175</v>
      </c>
      <c r="D184" s="6" t="s">
        <v>91</v>
      </c>
      <c r="E184" s="6"/>
      <c r="F184" s="3" t="n">
        <v>1</v>
      </c>
      <c r="G184" s="3" t="n">
        <v>1</v>
      </c>
      <c r="H184" s="3" t="n">
        <f aca="false">F184+G184</f>
        <v>2</v>
      </c>
      <c r="I184" s="7"/>
      <c r="J184" s="5" t="n">
        <f aca="false">IF(B184="","",Параметри!$B$4*(F184*INDEX(Параметри!$C$9:$C$12,B184)+G184*INDEX(Параметри!$D$9:$D$12,B184)))</f>
        <v>34</v>
      </c>
      <c r="K184" s="3" t="str">
        <f aca="false">IF(OR(I184="",J184=""),"",I184-J184)</f>
        <v/>
      </c>
      <c r="L184" s="4"/>
    </row>
    <row r="185" customFormat="false" ht="15" hidden="false" customHeight="false" outlineLevel="0" collapsed="false">
      <c r="A185" s="3" t="n">
        <v>92</v>
      </c>
      <c r="B185" s="5" t="n">
        <f aca="false">IFERROR(VLOOKUP(A185,Групи!$A$2:$E$26,5,FALSE()),"")</f>
        <v>1</v>
      </c>
      <c r="C185" s="4" t="s">
        <v>201</v>
      </c>
      <c r="D185" s="6" t="s">
        <v>202</v>
      </c>
      <c r="E185" s="6"/>
      <c r="F185" s="3" t="n">
        <v>1</v>
      </c>
      <c r="G185" s="3" t="n">
        <v>1</v>
      </c>
      <c r="H185" s="3" t="n">
        <f aca="false">F185+G185</f>
        <v>2</v>
      </c>
      <c r="I185" s="7"/>
      <c r="J185" s="5" t="n">
        <f aca="false">IF(B185="","",Параметри!$B$4*(F185*INDEX(Параметри!$C$9:$C$12,B185)+G185*INDEX(Параметри!$D$9:$D$12,B185)))</f>
        <v>34</v>
      </c>
      <c r="K185" s="3" t="str">
        <f aca="false">IF(OR(I185="",J185=""),"",I185-J185)</f>
        <v/>
      </c>
      <c r="L185" s="4"/>
    </row>
    <row r="186" customFormat="false" ht="15" hidden="false" customHeight="false" outlineLevel="0" collapsed="false">
      <c r="A186" s="3" t="n">
        <v>92</v>
      </c>
      <c r="B186" s="5" t="n">
        <f aca="false">IFERROR(VLOOKUP(A186,Групи!$A$2:$E$26,5,FALSE()),"")</f>
        <v>1</v>
      </c>
      <c r="C186" s="4" t="s">
        <v>94</v>
      </c>
      <c r="D186" s="6" t="s">
        <v>202</v>
      </c>
      <c r="E186" s="6"/>
      <c r="F186" s="3" t="n">
        <v>1</v>
      </c>
      <c r="G186" s="3" t="n">
        <v>1</v>
      </c>
      <c r="H186" s="3" t="n">
        <f aca="false">F186+G186</f>
        <v>2</v>
      </c>
      <c r="I186" s="7"/>
      <c r="J186" s="5" t="n">
        <f aca="false">IF(B186="","",Параметри!$B$4*(F186*INDEX(Параметри!$C$9:$C$12,B186)+G186*INDEX(Параметри!$D$9:$D$12,B186)))</f>
        <v>34</v>
      </c>
      <c r="K186" s="3" t="str">
        <f aca="false">IF(OR(I186="",J186=""),"",I186-J186)</f>
        <v/>
      </c>
      <c r="L186" s="4" t="s">
        <v>95</v>
      </c>
    </row>
    <row r="187" customFormat="false" ht="15" hidden="false" customHeight="false" outlineLevel="0" collapsed="false">
      <c r="A187" s="3" t="n">
        <v>92</v>
      </c>
      <c r="B187" s="5" t="n">
        <f aca="false">IFERROR(VLOOKUP(A187,Групи!$A$2:$E$26,5,FALSE()),"")</f>
        <v>1</v>
      </c>
      <c r="C187" s="4" t="s">
        <v>203</v>
      </c>
      <c r="D187" s="6" t="s">
        <v>152</v>
      </c>
      <c r="E187" s="6"/>
      <c r="F187" s="3" t="n">
        <v>2</v>
      </c>
      <c r="G187" s="3" t="n">
        <v>2</v>
      </c>
      <c r="H187" s="3" t="n">
        <f aca="false">F187+G187</f>
        <v>4</v>
      </c>
      <c r="I187" s="7"/>
      <c r="J187" s="5" t="n">
        <f aca="false">IF(B187="","",Параметри!$B$4*(F187*INDEX(Параметри!$C$9:$C$12,B187)+G187*INDEX(Параметри!$D$9:$D$12,B187)))</f>
        <v>68</v>
      </c>
      <c r="K187" s="3" t="str">
        <f aca="false">IF(OR(I187="",J187=""),"",I187-J187)</f>
        <v/>
      </c>
      <c r="L187" s="4"/>
    </row>
    <row r="188" customFormat="false" ht="15" hidden="false" customHeight="false" outlineLevel="0" collapsed="false">
      <c r="A188" s="3" t="n">
        <v>92</v>
      </c>
      <c r="B188" s="5" t="n">
        <f aca="false">IFERROR(VLOOKUP(A188,Групи!$A$2:$E$26,5,FALSE()),"")</f>
        <v>1</v>
      </c>
      <c r="C188" s="4" t="s">
        <v>204</v>
      </c>
      <c r="D188" s="6" t="s">
        <v>205</v>
      </c>
      <c r="E188" s="6"/>
      <c r="F188" s="3" t="n">
        <v>1</v>
      </c>
      <c r="G188" s="3" t="n">
        <v>1</v>
      </c>
      <c r="H188" s="3" t="n">
        <f aca="false">F188+G188</f>
        <v>2</v>
      </c>
      <c r="I188" s="7"/>
      <c r="J188" s="5" t="n">
        <f aca="false">IF(B188="","",Параметри!$B$4*(F188*INDEX(Параметри!$C$9:$C$12,B188)+G188*INDEX(Параметри!$D$9:$D$12,B188)))</f>
        <v>34</v>
      </c>
      <c r="K188" s="3" t="str">
        <f aca="false">IF(OR(I188="",J188=""),"",I188-J188)</f>
        <v/>
      </c>
      <c r="L188" s="4"/>
    </row>
    <row r="189" customFormat="false" ht="15" hidden="false" customHeight="false" outlineLevel="0" collapsed="false">
      <c r="A189" s="3" t="n">
        <v>92</v>
      </c>
      <c r="B189" s="5" t="n">
        <f aca="false">IFERROR(VLOOKUP(A189,Групи!$A$2:$E$26,5,FALSE()),"")</f>
        <v>1</v>
      </c>
      <c r="C189" s="4" t="s">
        <v>206</v>
      </c>
      <c r="D189" s="6" t="s">
        <v>99</v>
      </c>
      <c r="E189" s="6"/>
      <c r="F189" s="3" t="n">
        <v>2</v>
      </c>
      <c r="G189" s="3" t="n">
        <v>2</v>
      </c>
      <c r="H189" s="3" t="n">
        <f aca="false">F189+G189</f>
        <v>4</v>
      </c>
      <c r="I189" s="7"/>
      <c r="J189" s="5" t="n">
        <f aca="false">IF(B189="","",Параметри!$B$4*(F189*INDEX(Параметри!$C$9:$C$12,B189)+G189*INDEX(Параметри!$D$9:$D$12,B189)))</f>
        <v>68</v>
      </c>
      <c r="K189" s="3" t="str">
        <f aca="false">IF(OR(I189="",J189=""),"",I189-J189)</f>
        <v/>
      </c>
      <c r="L189" s="4"/>
    </row>
    <row r="190" customFormat="false" ht="15" hidden="false" customHeight="false" outlineLevel="0" collapsed="false">
      <c r="A190" s="3" t="n">
        <v>92</v>
      </c>
      <c r="B190" s="5" t="n">
        <f aca="false">IFERROR(VLOOKUP(A190,Групи!$A$2:$E$26,5,FALSE()),"")</f>
        <v>1</v>
      </c>
      <c r="C190" s="4" t="s">
        <v>207</v>
      </c>
      <c r="D190" s="6" t="s">
        <v>160</v>
      </c>
      <c r="E190" s="6"/>
      <c r="F190" s="3" t="n">
        <v>2</v>
      </c>
      <c r="G190" s="3" t="n">
        <v>2</v>
      </c>
      <c r="H190" s="3" t="n">
        <f aca="false">F190+G190</f>
        <v>4</v>
      </c>
      <c r="I190" s="7"/>
      <c r="J190" s="5" t="n">
        <f aca="false">IF(B190="","",Параметри!$B$4*(F190*INDEX(Параметри!$C$9:$C$12,B190)+G190*INDEX(Параметри!$D$9:$D$12,B190)))</f>
        <v>68</v>
      </c>
      <c r="K190" s="3" t="str">
        <f aca="false">IF(OR(I190="",J190=""),"",I190-J190)</f>
        <v/>
      </c>
      <c r="L190" s="4"/>
    </row>
    <row r="191" customFormat="false" ht="15" hidden="false" customHeight="false" outlineLevel="0" collapsed="false">
      <c r="A191" s="3" t="n">
        <v>92</v>
      </c>
      <c r="B191" s="5" t="n">
        <f aca="false">IFERROR(VLOOKUP(A191,Групи!$A$2:$E$26,5,FALSE()),"")</f>
        <v>1</v>
      </c>
      <c r="C191" s="4" t="s">
        <v>183</v>
      </c>
      <c r="D191" s="6" t="s">
        <v>184</v>
      </c>
      <c r="E191" s="6"/>
      <c r="F191" s="3" t="n">
        <v>1</v>
      </c>
      <c r="G191" s="3" t="n">
        <v>2</v>
      </c>
      <c r="H191" s="3" t="n">
        <f aca="false">F191+G191</f>
        <v>3</v>
      </c>
      <c r="I191" s="7"/>
      <c r="J191" s="5" t="n">
        <f aca="false">IF(B191="","",Параметри!$B$4*(F191*INDEX(Параметри!$C$9:$C$12,B191)+G191*INDEX(Параметри!$D$9:$D$12,B191)))</f>
        <v>50</v>
      </c>
      <c r="K191" s="3" t="str">
        <f aca="false">IF(OR(I191="",J191=""),"",I191-J191)</f>
        <v/>
      </c>
      <c r="L191" s="4"/>
    </row>
    <row r="192" customFormat="false" ht="15" hidden="false" customHeight="false" outlineLevel="0" collapsed="false">
      <c r="A192" s="3" t="n">
        <v>92</v>
      </c>
      <c r="B192" s="5" t="n">
        <f aca="false">IFERROR(VLOOKUP(A192,Групи!$A$2:$E$26,5,FALSE()),"")</f>
        <v>1</v>
      </c>
      <c r="C192" s="4" t="s">
        <v>190</v>
      </c>
      <c r="D192" s="6" t="s">
        <v>108</v>
      </c>
      <c r="E192" s="6"/>
      <c r="F192" s="3" t="n">
        <v>1</v>
      </c>
      <c r="G192" s="3" t="n">
        <v>1</v>
      </c>
      <c r="H192" s="3" t="n">
        <f aca="false">F192+G192</f>
        <v>2</v>
      </c>
      <c r="I192" s="7"/>
      <c r="J192" s="5" t="n">
        <f aca="false">IF(B192="","",Параметри!$B$4*(F192*INDEX(Параметри!$C$9:$C$12,B192)+G192*INDEX(Параметри!$D$9:$D$12,B192)))</f>
        <v>34</v>
      </c>
      <c r="K192" s="3" t="str">
        <f aca="false">IF(OR(I192="",J192=""),"",I192-J192)</f>
        <v/>
      </c>
      <c r="L192" s="4"/>
    </row>
    <row r="193" customFormat="false" ht="15" hidden="false" customHeight="false" outlineLevel="0" collapsed="false">
      <c r="A193" s="3" t="n">
        <v>92</v>
      </c>
      <c r="B193" s="5" t="n">
        <f aca="false">IFERROR(VLOOKUP(A193,Групи!$A$2:$E$26,5,FALSE()),"")</f>
        <v>1</v>
      </c>
      <c r="C193" s="4" t="s">
        <v>191</v>
      </c>
      <c r="D193" s="6" t="s">
        <v>198</v>
      </c>
      <c r="E193" s="6"/>
      <c r="F193" s="3" t="n">
        <v>1</v>
      </c>
      <c r="G193" s="3" t="n">
        <v>2</v>
      </c>
      <c r="H193" s="3" t="n">
        <f aca="false">F193+G193</f>
        <v>3</v>
      </c>
      <c r="I193" s="7"/>
      <c r="J193" s="5" t="n">
        <f aca="false">IF(B193="","",Параметри!$B$4*(F193*INDEX(Параметри!$C$9:$C$12,B193)+G193*INDEX(Параметри!$D$9:$D$12,B193)))</f>
        <v>50</v>
      </c>
      <c r="K193" s="3" t="str">
        <f aca="false">IF(OR(I193="",J193=""),"",I193-J193)</f>
        <v/>
      </c>
      <c r="L193" s="4"/>
    </row>
    <row r="194" customFormat="false" ht="15" hidden="false" customHeight="false" outlineLevel="0" collapsed="false">
      <c r="A194" s="3" t="n">
        <v>92</v>
      </c>
      <c r="B194" s="5" t="n">
        <f aca="false">IFERROR(VLOOKUP(A194,Групи!$A$2:$E$26,5,FALSE()),"")</f>
        <v>1</v>
      </c>
      <c r="C194" s="4" t="s">
        <v>193</v>
      </c>
      <c r="D194" s="6" t="s">
        <v>147</v>
      </c>
      <c r="E194" s="6"/>
      <c r="F194" s="3" t="n">
        <v>2</v>
      </c>
      <c r="G194" s="3" t="n">
        <v>1</v>
      </c>
      <c r="H194" s="3" t="n">
        <f aca="false">F194+G194</f>
        <v>3</v>
      </c>
      <c r="I194" s="7"/>
      <c r="J194" s="5" t="n">
        <f aca="false">IF(B194="","",Параметри!$B$4*(F194*INDEX(Параметри!$C$9:$C$12,B194)+G194*INDEX(Параметри!$D$9:$D$12,B194)))</f>
        <v>52</v>
      </c>
      <c r="K194" s="3" t="str">
        <f aca="false">IF(OR(I194="",J194=""),"",I194-J194)</f>
        <v/>
      </c>
      <c r="L194" s="4" t="s">
        <v>194</v>
      </c>
    </row>
    <row r="195" customFormat="false" ht="15" hidden="false" customHeight="false" outlineLevel="0" collapsed="false">
      <c r="A195" s="3" t="n">
        <v>92</v>
      </c>
      <c r="B195" s="5" t="n">
        <f aca="false">IFERROR(VLOOKUP(A195,Групи!$A$2:$E$26,5,FALSE()),"")</f>
        <v>1</v>
      </c>
      <c r="C195" s="4" t="s">
        <v>208</v>
      </c>
      <c r="D195" s="6" t="s">
        <v>202</v>
      </c>
      <c r="E195" s="6"/>
      <c r="F195" s="3" t="n">
        <v>2</v>
      </c>
      <c r="G195" s="3" t="n">
        <v>1</v>
      </c>
      <c r="H195" s="3" t="n">
        <f aca="false">F195+G195</f>
        <v>3</v>
      </c>
      <c r="I195" s="7"/>
      <c r="J195" s="5" t="n">
        <f aca="false">IF(B195="","",Параметри!$B$4*(F195*INDEX(Параметри!$C$9:$C$12,B195)+G195*INDEX(Параметри!$D$9:$D$12,B195)))</f>
        <v>52</v>
      </c>
      <c r="K195" s="3" t="str">
        <f aca="false">IF(OR(I195="",J195=""),"",I195-J195)</f>
        <v/>
      </c>
      <c r="L195" s="4"/>
    </row>
    <row r="196" customFormat="false" ht="15" hidden="false" customHeight="false" outlineLevel="0" collapsed="false">
      <c r="A196" s="3" t="n">
        <v>93</v>
      </c>
      <c r="B196" s="5" t="n">
        <f aca="false">IFERROR(VLOOKUP(A196,Групи!$A$2:$E$26,5,FALSE()),"")</f>
        <v>1</v>
      </c>
      <c r="C196" s="4" t="s">
        <v>175</v>
      </c>
      <c r="D196" s="6" t="s">
        <v>91</v>
      </c>
      <c r="E196" s="6"/>
      <c r="F196" s="3" t="n">
        <v>1</v>
      </c>
      <c r="G196" s="3" t="n">
        <v>1</v>
      </c>
      <c r="H196" s="3" t="n">
        <f aca="false">F196+G196</f>
        <v>2</v>
      </c>
      <c r="I196" s="7"/>
      <c r="J196" s="5" t="n">
        <f aca="false">IF(B196="","",Параметри!$B$4*(F196*INDEX(Параметри!$C$9:$C$12,B196)+G196*INDEX(Параметри!$D$9:$D$12,B196)))</f>
        <v>34</v>
      </c>
      <c r="K196" s="3" t="str">
        <f aca="false">IF(OR(I196="",J196=""),"",I196-J196)</f>
        <v/>
      </c>
      <c r="L196" s="4"/>
    </row>
    <row r="197" customFormat="false" ht="15" hidden="false" customHeight="false" outlineLevel="0" collapsed="false">
      <c r="A197" s="3" t="n">
        <v>93</v>
      </c>
      <c r="B197" s="5" t="n">
        <f aca="false">IFERROR(VLOOKUP(A197,Групи!$A$2:$E$26,5,FALSE()),"")</f>
        <v>1</v>
      </c>
      <c r="C197" s="4" t="s">
        <v>201</v>
      </c>
      <c r="D197" s="6" t="s">
        <v>209</v>
      </c>
      <c r="E197" s="6"/>
      <c r="F197" s="3" t="n">
        <v>1</v>
      </c>
      <c r="G197" s="3" t="n">
        <v>1</v>
      </c>
      <c r="H197" s="3" t="n">
        <f aca="false">F197+G197</f>
        <v>2</v>
      </c>
      <c r="I197" s="7"/>
      <c r="J197" s="5" t="n">
        <f aca="false">IF(B197="","",Параметри!$B$4*(F197*INDEX(Параметри!$C$9:$C$12,B197)+G197*INDEX(Параметри!$D$9:$D$12,B197)))</f>
        <v>34</v>
      </c>
      <c r="K197" s="3" t="str">
        <f aca="false">IF(OR(I197="",J197=""),"",I197-J197)</f>
        <v/>
      </c>
      <c r="L197" s="4"/>
    </row>
    <row r="198" customFormat="false" ht="23.85" hidden="false" customHeight="false" outlineLevel="0" collapsed="false">
      <c r="A198" s="3" t="n">
        <v>93</v>
      </c>
      <c r="B198" s="5" t="n">
        <f aca="false">IFERROR(VLOOKUP(A198,Групи!$A$2:$E$26,5,FALSE()),"")</f>
        <v>1</v>
      </c>
      <c r="C198" s="4" t="s">
        <v>94</v>
      </c>
      <c r="D198" s="6" t="s">
        <v>168</v>
      </c>
      <c r="E198" s="6"/>
      <c r="F198" s="3" t="n">
        <v>1</v>
      </c>
      <c r="G198" s="3" t="n">
        <v>1</v>
      </c>
      <c r="H198" s="3" t="n">
        <f aca="false">F198+G198</f>
        <v>2</v>
      </c>
      <c r="I198" s="7"/>
      <c r="J198" s="5" t="n">
        <f aca="false">IF(B198="","",Параметри!$B$4*(F198*INDEX(Параметри!$C$9:$C$12,B198)+G198*INDEX(Параметри!$D$9:$D$12,B198)))</f>
        <v>34</v>
      </c>
      <c r="K198" s="3" t="str">
        <f aca="false">IF(OR(I198="",J198=""),"",I198-J198)</f>
        <v/>
      </c>
      <c r="L198" s="4" t="s">
        <v>174</v>
      </c>
    </row>
    <row r="199" customFormat="false" ht="15" hidden="false" customHeight="false" outlineLevel="0" collapsed="false">
      <c r="A199" s="3" t="n">
        <v>93</v>
      </c>
      <c r="B199" s="5" t="n">
        <f aca="false">IFERROR(VLOOKUP(A199,Групи!$A$2:$E$26,5,FALSE()),"")</f>
        <v>1</v>
      </c>
      <c r="C199" s="4" t="s">
        <v>203</v>
      </c>
      <c r="D199" s="6" t="s">
        <v>152</v>
      </c>
      <c r="E199" s="6"/>
      <c r="F199" s="3" t="n">
        <v>2</v>
      </c>
      <c r="G199" s="3" t="n">
        <v>2</v>
      </c>
      <c r="H199" s="3" t="n">
        <f aca="false">F199+G199</f>
        <v>4</v>
      </c>
      <c r="I199" s="7"/>
      <c r="J199" s="5" t="n">
        <f aca="false">IF(B199="","",Параметри!$B$4*(F199*INDEX(Параметри!$C$9:$C$12,B199)+G199*INDEX(Параметри!$D$9:$D$12,B199)))</f>
        <v>68</v>
      </c>
      <c r="K199" s="3" t="str">
        <f aca="false">IF(OR(I199="",J199=""),"",I199-J199)</f>
        <v/>
      </c>
      <c r="L199" s="4"/>
    </row>
    <row r="200" customFormat="false" ht="15" hidden="false" customHeight="false" outlineLevel="0" collapsed="false">
      <c r="A200" s="3" t="n">
        <v>93</v>
      </c>
      <c r="B200" s="5" t="n">
        <f aca="false">IFERROR(VLOOKUP(A200,Групи!$A$2:$E$26,5,FALSE()),"")</f>
        <v>1</v>
      </c>
      <c r="C200" s="4" t="s">
        <v>204</v>
      </c>
      <c r="D200" s="6" t="s">
        <v>135</v>
      </c>
      <c r="E200" s="6"/>
      <c r="F200" s="3" t="n">
        <v>1</v>
      </c>
      <c r="G200" s="3" t="n">
        <v>1</v>
      </c>
      <c r="H200" s="3" t="n">
        <f aca="false">F200+G200</f>
        <v>2</v>
      </c>
      <c r="I200" s="7"/>
      <c r="J200" s="5" t="n">
        <f aca="false">IF(B200="","",Параметри!$B$4*(F200*INDEX(Параметри!$C$9:$C$12,B200)+G200*INDEX(Параметри!$D$9:$D$12,B200)))</f>
        <v>34</v>
      </c>
      <c r="K200" s="3" t="str">
        <f aca="false">IF(OR(I200="",J200=""),"",I200-J200)</f>
        <v/>
      </c>
      <c r="L200" s="4"/>
    </row>
    <row r="201" customFormat="false" ht="15" hidden="false" customHeight="false" outlineLevel="0" collapsed="false">
      <c r="A201" s="3" t="n">
        <v>93</v>
      </c>
      <c r="B201" s="5" t="n">
        <f aca="false">IFERROR(VLOOKUP(A201,Групи!$A$2:$E$26,5,FALSE()),"")</f>
        <v>1</v>
      </c>
      <c r="C201" s="4" t="s">
        <v>206</v>
      </c>
      <c r="D201" s="6" t="s">
        <v>135</v>
      </c>
      <c r="E201" s="6"/>
      <c r="F201" s="3" t="n">
        <v>1</v>
      </c>
      <c r="G201" s="3" t="n">
        <v>1</v>
      </c>
      <c r="H201" s="3" t="n">
        <f aca="false">F201+G201</f>
        <v>2</v>
      </c>
      <c r="I201" s="7"/>
      <c r="J201" s="5" t="n">
        <f aca="false">IF(B201="","",Параметри!$B$4*(F201*INDEX(Параметри!$C$9:$C$12,B201)+G201*INDEX(Параметри!$D$9:$D$12,B201)))</f>
        <v>34</v>
      </c>
      <c r="K201" s="3" t="str">
        <f aca="false">IF(OR(I201="",J201=""),"",I201-J201)</f>
        <v/>
      </c>
      <c r="L201" s="4"/>
    </row>
    <row r="202" customFormat="false" ht="15" hidden="false" customHeight="false" outlineLevel="0" collapsed="false">
      <c r="A202" s="3" t="n">
        <v>93</v>
      </c>
      <c r="B202" s="5" t="n">
        <f aca="false">IFERROR(VLOOKUP(A202,Групи!$A$2:$E$26,5,FALSE()),"")</f>
        <v>1</v>
      </c>
      <c r="C202" s="4" t="s">
        <v>207</v>
      </c>
      <c r="D202" s="6" t="s">
        <v>160</v>
      </c>
      <c r="E202" s="6"/>
      <c r="F202" s="3" t="n">
        <v>2</v>
      </c>
      <c r="G202" s="3" t="n">
        <v>2</v>
      </c>
      <c r="H202" s="3" t="n">
        <f aca="false">F202+G202</f>
        <v>4</v>
      </c>
      <c r="I202" s="7"/>
      <c r="J202" s="5" t="n">
        <f aca="false">IF(B202="","",Параметри!$B$4*(F202*INDEX(Параметри!$C$9:$C$12,B202)+G202*INDEX(Параметри!$D$9:$D$12,B202)))</f>
        <v>68</v>
      </c>
      <c r="K202" s="3" t="str">
        <f aca="false">IF(OR(I202="",J202=""),"",I202-J202)</f>
        <v/>
      </c>
      <c r="L202" s="4"/>
    </row>
    <row r="203" customFormat="false" ht="15" hidden="false" customHeight="false" outlineLevel="0" collapsed="false">
      <c r="A203" s="3" t="n">
        <v>93</v>
      </c>
      <c r="B203" s="5" t="n">
        <f aca="false">IFERROR(VLOOKUP(A203,Групи!$A$2:$E$26,5,FALSE()),"")</f>
        <v>1</v>
      </c>
      <c r="C203" s="4" t="s">
        <v>183</v>
      </c>
      <c r="D203" s="6" t="s">
        <v>184</v>
      </c>
      <c r="E203" s="6"/>
      <c r="F203" s="3" t="n">
        <v>1</v>
      </c>
      <c r="G203" s="3" t="n">
        <v>2</v>
      </c>
      <c r="H203" s="3" t="n">
        <f aca="false">F203+G203</f>
        <v>3</v>
      </c>
      <c r="I203" s="7"/>
      <c r="J203" s="5" t="n">
        <f aca="false">IF(B203="","",Параметри!$B$4*(F203*INDEX(Параметри!$C$9:$C$12,B203)+G203*INDEX(Параметри!$D$9:$D$12,B203)))</f>
        <v>50</v>
      </c>
      <c r="K203" s="3" t="str">
        <f aca="false">IF(OR(I203="",J203=""),"",I203-J203)</f>
        <v/>
      </c>
      <c r="L203" s="4"/>
    </row>
    <row r="204" customFormat="false" ht="15" hidden="false" customHeight="false" outlineLevel="0" collapsed="false">
      <c r="A204" s="3" t="n">
        <v>93</v>
      </c>
      <c r="B204" s="5" t="n">
        <f aca="false">IFERROR(VLOOKUP(A204,Групи!$A$2:$E$26,5,FALSE()),"")</f>
        <v>1</v>
      </c>
      <c r="C204" s="4" t="s">
        <v>190</v>
      </c>
      <c r="D204" s="6" t="s">
        <v>108</v>
      </c>
      <c r="E204" s="6"/>
      <c r="F204" s="3" t="n">
        <v>1</v>
      </c>
      <c r="G204" s="3" t="n">
        <v>1</v>
      </c>
      <c r="H204" s="3" t="n">
        <f aca="false">F204+G204</f>
        <v>2</v>
      </c>
      <c r="I204" s="7"/>
      <c r="J204" s="5" t="n">
        <f aca="false">IF(B204="","",Параметри!$B$4*(F204*INDEX(Параметри!$C$9:$C$12,B204)+G204*INDEX(Параметри!$D$9:$D$12,B204)))</f>
        <v>34</v>
      </c>
      <c r="K204" s="3" t="str">
        <f aca="false">IF(OR(I204="",J204=""),"",I204-J204)</f>
        <v/>
      </c>
      <c r="L204" s="4"/>
    </row>
    <row r="205" customFormat="false" ht="15" hidden="false" customHeight="false" outlineLevel="0" collapsed="false">
      <c r="A205" s="3" t="n">
        <v>93</v>
      </c>
      <c r="B205" s="5" t="n">
        <f aca="false">IFERROR(VLOOKUP(A205,Групи!$A$2:$E$26,5,FALSE()),"")</f>
        <v>1</v>
      </c>
      <c r="C205" s="4" t="s">
        <v>191</v>
      </c>
      <c r="D205" s="6" t="s">
        <v>198</v>
      </c>
      <c r="E205" s="6"/>
      <c r="F205" s="3" t="n">
        <v>2</v>
      </c>
      <c r="G205" s="3" t="n">
        <v>1</v>
      </c>
      <c r="H205" s="3" t="n">
        <f aca="false">F205+G205</f>
        <v>3</v>
      </c>
      <c r="I205" s="7"/>
      <c r="J205" s="5" t="n">
        <f aca="false">IF(B205="","",Параметри!$B$4*(F205*INDEX(Параметри!$C$9:$C$12,B205)+G205*INDEX(Параметри!$D$9:$D$12,B205)))</f>
        <v>52</v>
      </c>
      <c r="K205" s="3" t="str">
        <f aca="false">IF(OR(I205="",J205=""),"",I205-J205)</f>
        <v/>
      </c>
      <c r="L205" s="4"/>
    </row>
    <row r="206" customFormat="false" ht="15" hidden="false" customHeight="false" outlineLevel="0" collapsed="false">
      <c r="A206" s="3" t="n">
        <v>93</v>
      </c>
      <c r="B206" s="5" t="n">
        <f aca="false">IFERROR(VLOOKUP(A206,Групи!$A$2:$E$26,5,FALSE()),"")</f>
        <v>1</v>
      </c>
      <c r="C206" s="4" t="s">
        <v>193</v>
      </c>
      <c r="D206" s="6" t="s">
        <v>147</v>
      </c>
      <c r="E206" s="6"/>
      <c r="F206" s="3" t="n">
        <v>2</v>
      </c>
      <c r="G206" s="3" t="n">
        <v>1</v>
      </c>
      <c r="H206" s="3" t="n">
        <f aca="false">F206+G206</f>
        <v>3</v>
      </c>
      <c r="I206" s="7"/>
      <c r="J206" s="5" t="n">
        <f aca="false">IF(B206="","",Параметри!$B$4*(F206*INDEX(Параметри!$C$9:$C$12,B206)+G206*INDEX(Параметри!$D$9:$D$12,B206)))</f>
        <v>52</v>
      </c>
      <c r="K206" s="3" t="str">
        <f aca="false">IF(OR(I206="",J206=""),"",I206-J206)</f>
        <v/>
      </c>
      <c r="L206" s="4" t="s">
        <v>194</v>
      </c>
    </row>
    <row r="207" customFormat="false" ht="15" hidden="false" customHeight="false" outlineLevel="0" collapsed="false">
      <c r="A207" s="3" t="n">
        <v>93</v>
      </c>
      <c r="B207" s="5" t="n">
        <f aca="false">IFERROR(VLOOKUP(A207,Групи!$A$2:$E$26,5,FALSE()),"")</f>
        <v>1</v>
      </c>
      <c r="C207" s="4" t="s">
        <v>208</v>
      </c>
      <c r="D207" s="6" t="s">
        <v>202</v>
      </c>
      <c r="E207" s="6"/>
      <c r="F207" s="3" t="n">
        <v>1</v>
      </c>
      <c r="G207" s="3" t="n">
        <v>2</v>
      </c>
      <c r="H207" s="3" t="n">
        <f aca="false">F207+G207</f>
        <v>3</v>
      </c>
      <c r="I207" s="7"/>
      <c r="J207" s="5" t="n">
        <f aca="false">IF(B207="","",Параметри!$B$4*(F207*INDEX(Параметри!$C$9:$C$12,B207)+G207*INDEX(Параметри!$D$9:$D$12,B207)))</f>
        <v>50</v>
      </c>
      <c r="K207" s="3" t="str">
        <f aca="false">IF(OR(I207="",J207=""),"",I207-J207)</f>
        <v/>
      </c>
      <c r="L207" s="4"/>
    </row>
    <row r="208" customFormat="false" ht="15" hidden="false" customHeight="false" outlineLevel="0" collapsed="false">
      <c r="A208" s="3" t="n">
        <v>94</v>
      </c>
      <c r="B208" s="5" t="n">
        <f aca="false">IFERROR(VLOOKUP(A208,Групи!$A$2:$E$26,5,FALSE()),"")</f>
        <v>1</v>
      </c>
      <c r="C208" s="4" t="s">
        <v>175</v>
      </c>
      <c r="D208" s="6" t="s">
        <v>119</v>
      </c>
      <c r="E208" s="6"/>
      <c r="F208" s="3" t="n">
        <v>1</v>
      </c>
      <c r="G208" s="3" t="n">
        <v>1</v>
      </c>
      <c r="H208" s="3" t="n">
        <f aca="false">F208+G208</f>
        <v>2</v>
      </c>
      <c r="I208" s="7"/>
      <c r="J208" s="5" t="n">
        <f aca="false">IF(B208="","",Параметри!$B$4*(F208*INDEX(Параметри!$C$9:$C$12,B208)+G208*INDEX(Параметри!$D$9:$D$12,B208)))</f>
        <v>34</v>
      </c>
      <c r="K208" s="3" t="str">
        <f aca="false">IF(OR(I208="",J208=""),"",I208-J208)</f>
        <v/>
      </c>
      <c r="L208" s="4"/>
    </row>
    <row r="209" customFormat="false" ht="15" hidden="false" customHeight="false" outlineLevel="0" collapsed="false">
      <c r="A209" s="3" t="n">
        <v>94</v>
      </c>
      <c r="B209" s="5" t="n">
        <f aca="false">IFERROR(VLOOKUP(A209,Групи!$A$2:$E$26,5,FALSE()),"")</f>
        <v>1</v>
      </c>
      <c r="C209" s="4" t="s">
        <v>201</v>
      </c>
      <c r="D209" s="6" t="s">
        <v>209</v>
      </c>
      <c r="E209" s="6"/>
      <c r="F209" s="3" t="n">
        <v>1</v>
      </c>
      <c r="G209" s="3" t="n">
        <v>2</v>
      </c>
      <c r="H209" s="3" t="n">
        <f aca="false">F209+G209</f>
        <v>3</v>
      </c>
      <c r="I209" s="7"/>
      <c r="J209" s="5" t="n">
        <f aca="false">IF(B209="","",Параметри!$B$4*(F209*INDEX(Параметри!$C$9:$C$12,B209)+G209*INDEX(Параметри!$D$9:$D$12,B209)))</f>
        <v>50</v>
      </c>
      <c r="K209" s="3" t="str">
        <f aca="false">IF(OR(I209="",J209=""),"",I209-J209)</f>
        <v/>
      </c>
      <c r="L209" s="4"/>
    </row>
    <row r="210" customFormat="false" ht="15" hidden="false" customHeight="false" outlineLevel="0" collapsed="false">
      <c r="A210" s="3" t="n">
        <v>94</v>
      </c>
      <c r="B210" s="5" t="n">
        <f aca="false">IFERROR(VLOOKUP(A210,Групи!$A$2:$E$26,5,FALSE()),"")</f>
        <v>1</v>
      </c>
      <c r="C210" s="4" t="s">
        <v>94</v>
      </c>
      <c r="D210" s="6" t="s">
        <v>192</v>
      </c>
      <c r="E210" s="6"/>
      <c r="F210" s="3" t="n">
        <v>1</v>
      </c>
      <c r="G210" s="3" t="n">
        <v>1</v>
      </c>
      <c r="H210" s="3" t="n">
        <f aca="false">F210+G210</f>
        <v>2</v>
      </c>
      <c r="I210" s="7"/>
      <c r="J210" s="5" t="n">
        <f aca="false">IF(B210="","",Параметри!$B$4*(F210*INDEX(Параметри!$C$9:$C$12,B210)+G210*INDEX(Параметри!$D$9:$D$12,B210)))</f>
        <v>34</v>
      </c>
      <c r="K210" s="3" t="str">
        <f aca="false">IF(OR(I210="",J210=""),"",I210-J210)</f>
        <v/>
      </c>
      <c r="L210" s="4" t="s">
        <v>95</v>
      </c>
    </row>
    <row r="211" customFormat="false" ht="15" hidden="false" customHeight="false" outlineLevel="0" collapsed="false">
      <c r="A211" s="3" t="n">
        <v>94</v>
      </c>
      <c r="B211" s="5" t="n">
        <f aca="false">IFERROR(VLOOKUP(A211,Групи!$A$2:$E$26,5,FALSE()),"")</f>
        <v>1</v>
      </c>
      <c r="C211" s="4" t="s">
        <v>203</v>
      </c>
      <c r="D211" s="6" t="s">
        <v>152</v>
      </c>
      <c r="E211" s="6"/>
      <c r="F211" s="3" t="n">
        <v>2</v>
      </c>
      <c r="G211" s="3" t="n">
        <v>2</v>
      </c>
      <c r="H211" s="3" t="n">
        <f aca="false">F211+G211</f>
        <v>4</v>
      </c>
      <c r="I211" s="7"/>
      <c r="J211" s="5" t="n">
        <f aca="false">IF(B211="","",Параметри!$B$4*(F211*INDEX(Параметри!$C$9:$C$12,B211)+G211*INDEX(Параметри!$D$9:$D$12,B211)))</f>
        <v>68</v>
      </c>
      <c r="K211" s="3" t="str">
        <f aca="false">IF(OR(I211="",J211=""),"",I211-J211)</f>
        <v/>
      </c>
      <c r="L211" s="4"/>
    </row>
    <row r="212" customFormat="false" ht="15" hidden="false" customHeight="false" outlineLevel="0" collapsed="false">
      <c r="A212" s="3" t="n">
        <v>94</v>
      </c>
      <c r="B212" s="5" t="n">
        <f aca="false">IFERROR(VLOOKUP(A212,Групи!$A$2:$E$26,5,FALSE()),"")</f>
        <v>1</v>
      </c>
      <c r="C212" s="4" t="s">
        <v>204</v>
      </c>
      <c r="D212" s="6" t="s">
        <v>205</v>
      </c>
      <c r="E212" s="6"/>
      <c r="F212" s="3" t="n">
        <v>1</v>
      </c>
      <c r="G212" s="3" t="n">
        <v>1</v>
      </c>
      <c r="H212" s="3" t="n">
        <f aca="false">F212+G212</f>
        <v>2</v>
      </c>
      <c r="I212" s="7"/>
      <c r="J212" s="5" t="n">
        <f aca="false">IF(B212="","",Параметри!$B$4*(F212*INDEX(Параметри!$C$9:$C$12,B212)+G212*INDEX(Параметри!$D$9:$D$12,B212)))</f>
        <v>34</v>
      </c>
      <c r="K212" s="3" t="str">
        <f aca="false">IF(OR(I212="",J212=""),"",I212-J212)</f>
        <v/>
      </c>
      <c r="L212" s="4"/>
    </row>
    <row r="213" customFormat="false" ht="15" hidden="false" customHeight="false" outlineLevel="0" collapsed="false">
      <c r="A213" s="3" t="n">
        <v>94</v>
      </c>
      <c r="B213" s="5" t="n">
        <f aca="false">IFERROR(VLOOKUP(A213,Групи!$A$2:$E$26,5,FALSE()),"")</f>
        <v>1</v>
      </c>
      <c r="C213" s="4" t="s">
        <v>206</v>
      </c>
      <c r="D213" s="6" t="s">
        <v>210</v>
      </c>
      <c r="E213" s="6"/>
      <c r="F213" s="3" t="n">
        <v>1</v>
      </c>
      <c r="G213" s="3" t="n">
        <v>1</v>
      </c>
      <c r="H213" s="3" t="n">
        <f aca="false">F213+G213</f>
        <v>2</v>
      </c>
      <c r="I213" s="7"/>
      <c r="J213" s="5" t="n">
        <f aca="false">IF(B213="","",Параметри!$B$4*(F213*INDEX(Параметри!$C$9:$C$12,B213)+G213*INDEX(Параметри!$D$9:$D$12,B213)))</f>
        <v>34</v>
      </c>
      <c r="K213" s="3" t="str">
        <f aca="false">IF(OR(I213="",J213=""),"",I213-J213)</f>
        <v/>
      </c>
      <c r="L213" s="4"/>
    </row>
    <row r="214" customFormat="false" ht="15" hidden="false" customHeight="false" outlineLevel="0" collapsed="false">
      <c r="A214" s="3" t="n">
        <v>94</v>
      </c>
      <c r="B214" s="5" t="n">
        <f aca="false">IFERROR(VLOOKUP(A214,Групи!$A$2:$E$26,5,FALSE()),"")</f>
        <v>1</v>
      </c>
      <c r="C214" s="4" t="s">
        <v>207</v>
      </c>
      <c r="D214" s="6" t="s">
        <v>160</v>
      </c>
      <c r="E214" s="6"/>
      <c r="F214" s="3" t="n">
        <v>2</v>
      </c>
      <c r="G214" s="3" t="n">
        <v>2</v>
      </c>
      <c r="H214" s="3" t="n">
        <f aca="false">F214+G214</f>
        <v>4</v>
      </c>
      <c r="I214" s="7"/>
      <c r="J214" s="5" t="n">
        <f aca="false">IF(B214="","",Параметри!$B$4*(F214*INDEX(Параметри!$C$9:$C$12,B214)+G214*INDEX(Параметри!$D$9:$D$12,B214)))</f>
        <v>68</v>
      </c>
      <c r="K214" s="3" t="str">
        <f aca="false">IF(OR(I214="",J214=""),"",I214-J214)</f>
        <v/>
      </c>
      <c r="L214" s="4"/>
    </row>
    <row r="215" customFormat="false" ht="15" hidden="false" customHeight="false" outlineLevel="0" collapsed="false">
      <c r="A215" s="3" t="n">
        <v>94</v>
      </c>
      <c r="B215" s="5" t="n">
        <f aca="false">IFERROR(VLOOKUP(A215,Групи!$A$2:$E$26,5,FALSE()),"")</f>
        <v>1</v>
      </c>
      <c r="C215" s="4" t="s">
        <v>183</v>
      </c>
      <c r="D215" s="6" t="s">
        <v>184</v>
      </c>
      <c r="E215" s="6"/>
      <c r="F215" s="3" t="n">
        <v>3</v>
      </c>
      <c r="G215" s="3" t="n">
        <v>1</v>
      </c>
      <c r="H215" s="3" t="n">
        <f aca="false">F215+G215</f>
        <v>4</v>
      </c>
      <c r="I215" s="7"/>
      <c r="J215" s="5" t="n">
        <f aca="false">IF(B215="","",Параметри!$B$4*(F215*INDEX(Параметри!$C$9:$C$12,B215)+G215*INDEX(Параметри!$D$9:$D$12,B215)))</f>
        <v>70</v>
      </c>
      <c r="K215" s="3" t="str">
        <f aca="false">IF(OR(I215="",J215=""),"",I215-J215)</f>
        <v/>
      </c>
      <c r="L215" s="4"/>
    </row>
    <row r="216" customFormat="false" ht="15" hidden="false" customHeight="false" outlineLevel="0" collapsed="false">
      <c r="A216" s="3" t="n">
        <v>94</v>
      </c>
      <c r="B216" s="5" t="n">
        <f aca="false">IFERROR(VLOOKUP(A216,Групи!$A$2:$E$26,5,FALSE()),"")</f>
        <v>1</v>
      </c>
      <c r="C216" s="4" t="s">
        <v>190</v>
      </c>
      <c r="D216" s="6" t="s">
        <v>108</v>
      </c>
      <c r="E216" s="6"/>
      <c r="F216" s="3" t="n">
        <v>1</v>
      </c>
      <c r="G216" s="3" t="n">
        <v>1</v>
      </c>
      <c r="H216" s="3" t="n">
        <f aca="false">F216+G216</f>
        <v>2</v>
      </c>
      <c r="I216" s="7"/>
      <c r="J216" s="5" t="n">
        <f aca="false">IF(B216="","",Параметри!$B$4*(F216*INDEX(Параметри!$C$9:$C$12,B216)+G216*INDEX(Параметри!$D$9:$D$12,B216)))</f>
        <v>34</v>
      </c>
      <c r="K216" s="3" t="str">
        <f aca="false">IF(OR(I216="",J216=""),"",I216-J216)</f>
        <v/>
      </c>
      <c r="L216" s="4"/>
    </row>
    <row r="217" customFormat="false" ht="15" hidden="false" customHeight="false" outlineLevel="0" collapsed="false">
      <c r="A217" s="3" t="n">
        <v>94</v>
      </c>
      <c r="B217" s="5" t="n">
        <f aca="false">IFERROR(VLOOKUP(A217,Групи!$A$2:$E$26,5,FALSE()),"")</f>
        <v>1</v>
      </c>
      <c r="C217" s="4" t="s">
        <v>191</v>
      </c>
      <c r="D217" s="6" t="s">
        <v>198</v>
      </c>
      <c r="E217" s="6"/>
      <c r="F217" s="3" t="n">
        <v>1</v>
      </c>
      <c r="G217" s="3" t="n">
        <v>2</v>
      </c>
      <c r="H217" s="3" t="n">
        <f aca="false">F217+G217</f>
        <v>3</v>
      </c>
      <c r="I217" s="7"/>
      <c r="J217" s="5" t="n">
        <f aca="false">IF(B217="","",Параметри!$B$4*(F217*INDEX(Параметри!$C$9:$C$12,B217)+G217*INDEX(Параметри!$D$9:$D$12,B217)))</f>
        <v>50</v>
      </c>
      <c r="K217" s="3" t="str">
        <f aca="false">IF(OR(I217="",J217=""),"",I217-J217)</f>
        <v/>
      </c>
      <c r="L217" s="4"/>
    </row>
    <row r="218" customFormat="false" ht="15" hidden="false" customHeight="false" outlineLevel="0" collapsed="false">
      <c r="A218" s="3" t="n">
        <v>94</v>
      </c>
      <c r="B218" s="5" t="n">
        <f aca="false">IFERROR(VLOOKUP(A218,Групи!$A$2:$E$26,5,FALSE()),"")</f>
        <v>1</v>
      </c>
      <c r="C218" s="4" t="s">
        <v>193</v>
      </c>
      <c r="D218" s="6" t="s">
        <v>106</v>
      </c>
      <c r="E218" s="6"/>
      <c r="F218" s="3" t="n">
        <v>1</v>
      </c>
      <c r="G218" s="3" t="n">
        <v>2</v>
      </c>
      <c r="H218" s="3" t="n">
        <f aca="false">F218+G218</f>
        <v>3</v>
      </c>
      <c r="I218" s="7"/>
      <c r="J218" s="5" t="n">
        <f aca="false">IF(B218="","",Параметри!$B$4*(F218*INDEX(Параметри!$C$9:$C$12,B218)+G218*INDEX(Параметри!$D$9:$D$12,B218)))</f>
        <v>50</v>
      </c>
      <c r="K218" s="3" t="str">
        <f aca="false">IF(OR(I218="",J218=""),"",I218-J218)</f>
        <v/>
      </c>
      <c r="L218" s="4" t="s">
        <v>194</v>
      </c>
    </row>
    <row r="219" customFormat="false" ht="15" hidden="false" customHeight="false" outlineLevel="0" collapsed="false">
      <c r="A219" s="3" t="n">
        <v>94</v>
      </c>
      <c r="B219" s="5" t="n">
        <f aca="false">IFERROR(VLOOKUP(A219,Групи!$A$2:$E$26,5,FALSE()),"")</f>
        <v>1</v>
      </c>
      <c r="C219" s="4" t="s">
        <v>208</v>
      </c>
      <c r="D219" s="6" t="s">
        <v>202</v>
      </c>
      <c r="E219" s="6"/>
      <c r="F219" s="3" t="n">
        <v>2</v>
      </c>
      <c r="G219" s="3" t="n">
        <v>1</v>
      </c>
      <c r="H219" s="3" t="n">
        <f aca="false">F219+G219</f>
        <v>3</v>
      </c>
      <c r="I219" s="7"/>
      <c r="J219" s="5" t="n">
        <f aca="false">IF(B219="","",Параметри!$B$4*(F219*INDEX(Параметри!$C$9:$C$12,B219)+G219*INDEX(Параметри!$D$9:$D$12,B219)))</f>
        <v>52</v>
      </c>
      <c r="K219" s="3" t="str">
        <f aca="false">IF(OR(I219="",J219=""),"",I219-J219)</f>
        <v/>
      </c>
      <c r="L219" s="4"/>
    </row>
    <row r="220" customFormat="false" ht="15" hidden="false" customHeight="false" outlineLevel="0" collapsed="false">
      <c r="A220" s="3" t="n">
        <v>95</v>
      </c>
      <c r="B220" s="5" t="n">
        <f aca="false">IFERROR(VLOOKUP(A220,Групи!$A$2:$E$26,5,FALSE()),"")</f>
        <v>1</v>
      </c>
      <c r="C220" s="4" t="s">
        <v>175</v>
      </c>
      <c r="D220" s="6" t="s">
        <v>107</v>
      </c>
      <c r="E220" s="6"/>
      <c r="F220" s="3" t="n">
        <v>1</v>
      </c>
      <c r="G220" s="3" t="n">
        <v>1</v>
      </c>
      <c r="H220" s="3" t="n">
        <f aca="false">F220+G220</f>
        <v>2</v>
      </c>
      <c r="I220" s="7"/>
      <c r="J220" s="5" t="n">
        <f aca="false">IF(B220="","",Параметри!$B$4*(F220*INDEX(Параметри!$C$9:$C$12,B220)+G220*INDEX(Параметри!$D$9:$D$12,B220)))</f>
        <v>34</v>
      </c>
      <c r="K220" s="3" t="str">
        <f aca="false">IF(OR(I220="",J220=""),"",I220-J220)</f>
        <v/>
      </c>
      <c r="L220" s="4"/>
    </row>
    <row r="221" customFormat="false" ht="15" hidden="false" customHeight="false" outlineLevel="0" collapsed="false">
      <c r="A221" s="3" t="n">
        <v>95</v>
      </c>
      <c r="B221" s="5" t="n">
        <f aca="false">IFERROR(VLOOKUP(A221,Групи!$A$2:$E$26,5,FALSE()),"")</f>
        <v>1</v>
      </c>
      <c r="C221" s="4" t="s">
        <v>201</v>
      </c>
      <c r="D221" s="6" t="s">
        <v>209</v>
      </c>
      <c r="E221" s="6"/>
      <c r="F221" s="3" t="n">
        <v>2</v>
      </c>
      <c r="G221" s="3" t="n">
        <v>2</v>
      </c>
      <c r="H221" s="3" t="n">
        <f aca="false">F221+G221</f>
        <v>4</v>
      </c>
      <c r="I221" s="7"/>
      <c r="J221" s="5" t="n">
        <f aca="false">IF(B221="","",Параметри!$B$4*(F221*INDEX(Параметри!$C$9:$C$12,B221)+G221*INDEX(Параметри!$D$9:$D$12,B221)))</f>
        <v>68</v>
      </c>
      <c r="K221" s="3" t="str">
        <f aca="false">IF(OR(I221="",J221=""),"",I221-J221)</f>
        <v/>
      </c>
      <c r="L221" s="4"/>
    </row>
    <row r="222" customFormat="false" ht="15" hidden="false" customHeight="false" outlineLevel="0" collapsed="false">
      <c r="A222" s="3" t="n">
        <v>95</v>
      </c>
      <c r="B222" s="5" t="n">
        <f aca="false">IFERROR(VLOOKUP(A222,Групи!$A$2:$E$26,5,FALSE()),"")</f>
        <v>1</v>
      </c>
      <c r="C222" s="4" t="s">
        <v>94</v>
      </c>
      <c r="D222" s="6" t="s">
        <v>106</v>
      </c>
      <c r="E222" s="6"/>
      <c r="F222" s="3" t="n">
        <v>1</v>
      </c>
      <c r="G222" s="3" t="n">
        <v>1</v>
      </c>
      <c r="H222" s="3" t="n">
        <f aca="false">F222+G222</f>
        <v>2</v>
      </c>
      <c r="I222" s="7"/>
      <c r="J222" s="5" t="n">
        <f aca="false">IF(B222="","",Параметри!$B$4*(F222*INDEX(Параметри!$C$9:$C$12,B222)+G222*INDEX(Параметри!$D$9:$D$12,B222)))</f>
        <v>34</v>
      </c>
      <c r="K222" s="3" t="str">
        <f aca="false">IF(OR(I222="",J222=""),"",I222-J222)</f>
        <v/>
      </c>
      <c r="L222" s="4" t="s">
        <v>95</v>
      </c>
    </row>
    <row r="223" customFormat="false" ht="15" hidden="false" customHeight="false" outlineLevel="0" collapsed="false">
      <c r="A223" s="3" t="n">
        <v>95</v>
      </c>
      <c r="B223" s="5" t="n">
        <f aca="false">IFERROR(VLOOKUP(A223,Групи!$A$2:$E$26,5,FALSE()),"")</f>
        <v>1</v>
      </c>
      <c r="C223" s="4" t="s">
        <v>203</v>
      </c>
      <c r="D223" s="6" t="s">
        <v>152</v>
      </c>
      <c r="E223" s="6"/>
      <c r="F223" s="3" t="n">
        <v>2</v>
      </c>
      <c r="G223" s="3" t="n">
        <v>2</v>
      </c>
      <c r="H223" s="3" t="n">
        <f aca="false">F223+G223</f>
        <v>4</v>
      </c>
      <c r="I223" s="7"/>
      <c r="J223" s="5" t="n">
        <f aca="false">IF(B223="","",Параметри!$B$4*(F223*INDEX(Параметри!$C$9:$C$12,B223)+G223*INDEX(Параметри!$D$9:$D$12,B223)))</f>
        <v>68</v>
      </c>
      <c r="K223" s="3" t="str">
        <f aca="false">IF(OR(I223="",J223=""),"",I223-J223)</f>
        <v/>
      </c>
      <c r="L223" s="4"/>
    </row>
    <row r="224" customFormat="false" ht="15" hidden="false" customHeight="false" outlineLevel="0" collapsed="false">
      <c r="A224" s="3" t="n">
        <v>95</v>
      </c>
      <c r="B224" s="5" t="n">
        <f aca="false">IFERROR(VLOOKUP(A224,Групи!$A$2:$E$26,5,FALSE()),"")</f>
        <v>1</v>
      </c>
      <c r="C224" s="4" t="s">
        <v>204</v>
      </c>
      <c r="D224" s="6" t="s">
        <v>135</v>
      </c>
      <c r="E224" s="6"/>
      <c r="F224" s="3" t="n">
        <v>1</v>
      </c>
      <c r="G224" s="3" t="n">
        <v>1</v>
      </c>
      <c r="H224" s="3" t="n">
        <f aca="false">F224+G224</f>
        <v>2</v>
      </c>
      <c r="I224" s="7"/>
      <c r="J224" s="5" t="n">
        <f aca="false">IF(B224="","",Параметри!$B$4*(F224*INDEX(Параметри!$C$9:$C$12,B224)+G224*INDEX(Параметри!$D$9:$D$12,B224)))</f>
        <v>34</v>
      </c>
      <c r="K224" s="3" t="str">
        <f aca="false">IF(OR(I224="",J224=""),"",I224-J224)</f>
        <v/>
      </c>
      <c r="L224" s="4"/>
    </row>
    <row r="225" customFormat="false" ht="15" hidden="false" customHeight="false" outlineLevel="0" collapsed="false">
      <c r="A225" s="3" t="n">
        <v>95</v>
      </c>
      <c r="B225" s="5" t="n">
        <f aca="false">IFERROR(VLOOKUP(A225,Групи!$A$2:$E$26,5,FALSE()),"")</f>
        <v>1</v>
      </c>
      <c r="C225" s="4" t="s">
        <v>206</v>
      </c>
      <c r="D225" s="6" t="s">
        <v>99</v>
      </c>
      <c r="E225" s="6"/>
      <c r="F225" s="3" t="n">
        <v>1</v>
      </c>
      <c r="G225" s="3" t="n">
        <v>1</v>
      </c>
      <c r="H225" s="3" t="n">
        <f aca="false">F225+G225</f>
        <v>2</v>
      </c>
      <c r="I225" s="7"/>
      <c r="J225" s="5" t="n">
        <f aca="false">IF(B225="","",Параметри!$B$4*(F225*INDEX(Параметри!$C$9:$C$12,B225)+G225*INDEX(Параметри!$D$9:$D$12,B225)))</f>
        <v>34</v>
      </c>
      <c r="K225" s="3" t="str">
        <f aca="false">IF(OR(I225="",J225=""),"",I225-J225)</f>
        <v/>
      </c>
      <c r="L225" s="4"/>
    </row>
    <row r="226" customFormat="false" ht="15" hidden="false" customHeight="false" outlineLevel="0" collapsed="false">
      <c r="A226" s="3" t="n">
        <v>95</v>
      </c>
      <c r="B226" s="5" t="n">
        <f aca="false">IFERROR(VLOOKUP(A226,Групи!$A$2:$E$26,5,FALSE()),"")</f>
        <v>1</v>
      </c>
      <c r="C226" s="4" t="s">
        <v>207</v>
      </c>
      <c r="D226" s="6" t="s">
        <v>160</v>
      </c>
      <c r="E226" s="6"/>
      <c r="F226" s="3" t="n">
        <v>2</v>
      </c>
      <c r="G226" s="3" t="n">
        <v>2</v>
      </c>
      <c r="H226" s="3" t="n">
        <f aca="false">F226+G226</f>
        <v>4</v>
      </c>
      <c r="I226" s="7"/>
      <c r="J226" s="5" t="n">
        <f aca="false">IF(B226="","",Параметри!$B$4*(F226*INDEX(Параметри!$C$9:$C$12,B226)+G226*INDEX(Параметри!$D$9:$D$12,B226)))</f>
        <v>68</v>
      </c>
      <c r="K226" s="3" t="str">
        <f aca="false">IF(OR(I226="",J226=""),"",I226-J226)</f>
        <v/>
      </c>
      <c r="L226" s="4"/>
    </row>
    <row r="227" customFormat="false" ht="15" hidden="false" customHeight="false" outlineLevel="0" collapsed="false">
      <c r="A227" s="3" t="n">
        <v>95</v>
      </c>
      <c r="B227" s="5" t="n">
        <f aca="false">IFERROR(VLOOKUP(A227,Групи!$A$2:$E$26,5,FALSE()),"")</f>
        <v>1</v>
      </c>
      <c r="C227" s="4" t="s">
        <v>183</v>
      </c>
      <c r="D227" s="6" t="s">
        <v>197</v>
      </c>
      <c r="E227" s="6"/>
      <c r="F227" s="3" t="n">
        <v>2</v>
      </c>
      <c r="G227" s="3" t="n">
        <v>1</v>
      </c>
      <c r="H227" s="3" t="n">
        <f aca="false">F227+G227</f>
        <v>3</v>
      </c>
      <c r="I227" s="7"/>
      <c r="J227" s="5" t="n">
        <f aca="false">IF(B227="","",Параметри!$B$4*(F227*INDEX(Параметри!$C$9:$C$12,B227)+G227*INDEX(Параметри!$D$9:$D$12,B227)))</f>
        <v>52</v>
      </c>
      <c r="K227" s="3" t="str">
        <f aca="false">IF(OR(I227="",J227=""),"",I227-J227)</f>
        <v/>
      </c>
      <c r="L227" s="4"/>
    </row>
    <row r="228" customFormat="false" ht="15" hidden="false" customHeight="false" outlineLevel="0" collapsed="false">
      <c r="A228" s="3" t="n">
        <v>95</v>
      </c>
      <c r="B228" s="5" t="n">
        <f aca="false">IFERROR(VLOOKUP(A228,Групи!$A$2:$E$26,5,FALSE()),"")</f>
        <v>1</v>
      </c>
      <c r="C228" s="4" t="s">
        <v>190</v>
      </c>
      <c r="D228" s="6" t="s">
        <v>165</v>
      </c>
      <c r="E228" s="6"/>
      <c r="F228" s="3" t="n">
        <v>1</v>
      </c>
      <c r="G228" s="3" t="n">
        <v>1</v>
      </c>
      <c r="H228" s="3" t="n">
        <f aca="false">F228+G228</f>
        <v>2</v>
      </c>
      <c r="I228" s="7"/>
      <c r="J228" s="5" t="n">
        <f aca="false">IF(B228="","",Параметри!$B$4*(F228*INDEX(Параметри!$C$9:$C$12,B228)+G228*INDEX(Параметри!$D$9:$D$12,B228)))</f>
        <v>34</v>
      </c>
      <c r="K228" s="3" t="str">
        <f aca="false">IF(OR(I228="",J228=""),"",I228-J228)</f>
        <v/>
      </c>
      <c r="L228" s="4"/>
    </row>
    <row r="229" customFormat="false" ht="15" hidden="false" customHeight="false" outlineLevel="0" collapsed="false">
      <c r="A229" s="3" t="n">
        <v>95</v>
      </c>
      <c r="B229" s="5" t="n">
        <f aca="false">IFERROR(VLOOKUP(A229,Групи!$A$2:$E$26,5,FALSE()),"")</f>
        <v>1</v>
      </c>
      <c r="C229" s="4" t="s">
        <v>191</v>
      </c>
      <c r="D229" s="6" t="s">
        <v>198</v>
      </c>
      <c r="E229" s="6"/>
      <c r="F229" s="3" t="n">
        <v>1</v>
      </c>
      <c r="G229" s="3" t="n">
        <v>2</v>
      </c>
      <c r="H229" s="3" t="n">
        <f aca="false">F229+G229</f>
        <v>3</v>
      </c>
      <c r="I229" s="7"/>
      <c r="J229" s="5" t="n">
        <f aca="false">IF(B229="","",Параметри!$B$4*(F229*INDEX(Параметри!$C$9:$C$12,B229)+G229*INDEX(Параметри!$D$9:$D$12,B229)))</f>
        <v>50</v>
      </c>
      <c r="K229" s="3" t="str">
        <f aca="false">IF(OR(I229="",J229=""),"",I229-J229)</f>
        <v/>
      </c>
      <c r="L229" s="4"/>
    </row>
    <row r="230" customFormat="false" ht="15" hidden="false" customHeight="false" outlineLevel="0" collapsed="false">
      <c r="A230" s="3" t="n">
        <v>95</v>
      </c>
      <c r="B230" s="5" t="n">
        <f aca="false">IFERROR(VLOOKUP(A230,Групи!$A$2:$E$26,5,FALSE()),"")</f>
        <v>1</v>
      </c>
      <c r="C230" s="4" t="s">
        <v>193</v>
      </c>
      <c r="D230" s="6" t="s">
        <v>128</v>
      </c>
      <c r="E230" s="6"/>
      <c r="F230" s="3" t="n">
        <v>1</v>
      </c>
      <c r="G230" s="3" t="n">
        <v>2</v>
      </c>
      <c r="H230" s="3" t="n">
        <f aca="false">F230+G230</f>
        <v>3</v>
      </c>
      <c r="I230" s="7"/>
      <c r="J230" s="5" t="n">
        <f aca="false">IF(B230="","",Параметри!$B$4*(F230*INDEX(Параметри!$C$9:$C$12,B230)+G230*INDEX(Параметри!$D$9:$D$12,B230)))</f>
        <v>50</v>
      </c>
      <c r="K230" s="3" t="str">
        <f aca="false">IF(OR(I230="",J230=""),"",I230-J230)</f>
        <v/>
      </c>
      <c r="L230" s="4" t="s">
        <v>194</v>
      </c>
    </row>
    <row r="231" customFormat="false" ht="15" hidden="false" customHeight="false" outlineLevel="0" collapsed="false">
      <c r="A231" s="3" t="n">
        <v>95</v>
      </c>
      <c r="B231" s="5" t="n">
        <f aca="false">IFERROR(VLOOKUP(A231,Групи!$A$2:$E$26,5,FALSE()),"")</f>
        <v>1</v>
      </c>
      <c r="C231" s="4" t="s">
        <v>208</v>
      </c>
      <c r="D231" s="6" t="s">
        <v>202</v>
      </c>
      <c r="E231" s="6"/>
      <c r="F231" s="3" t="n">
        <v>2</v>
      </c>
      <c r="G231" s="3" t="n">
        <v>1</v>
      </c>
      <c r="H231" s="3" t="n">
        <f aca="false">F231+G231</f>
        <v>3</v>
      </c>
      <c r="I231" s="7"/>
      <c r="J231" s="5" t="n">
        <f aca="false">IF(B231="","",Параметри!$B$4*(F231*INDEX(Параметри!$C$9:$C$12,B231)+G231*INDEX(Параметри!$D$9:$D$12,B231)))</f>
        <v>52</v>
      </c>
      <c r="K231" s="3" t="str">
        <f aca="false">IF(OR(I231="",J231=""),"",I231-J231)</f>
        <v/>
      </c>
      <c r="L231" s="4"/>
    </row>
    <row r="232" customFormat="false" ht="15" hidden="false" customHeight="false" outlineLevel="0" collapsed="false">
      <c r="A232" s="3" t="n">
        <v>96</v>
      </c>
      <c r="B232" s="5" t="n">
        <f aca="false">IFERROR(VLOOKUP(A232,Групи!$A$2:$E$26,5,FALSE()),"")</f>
        <v>1</v>
      </c>
      <c r="C232" s="4" t="s">
        <v>175</v>
      </c>
      <c r="D232" s="6" t="s">
        <v>107</v>
      </c>
      <c r="E232" s="6"/>
      <c r="F232" s="3" t="n">
        <v>1</v>
      </c>
      <c r="G232" s="3" t="n">
        <v>1</v>
      </c>
      <c r="H232" s="3" t="n">
        <f aca="false">F232+G232</f>
        <v>2</v>
      </c>
      <c r="I232" s="7"/>
      <c r="J232" s="5" t="n">
        <f aca="false">IF(B232="","",Параметри!$B$4*(F232*INDEX(Параметри!$C$9:$C$12,B232)+G232*INDEX(Параметри!$D$9:$D$12,B232)))</f>
        <v>34</v>
      </c>
      <c r="K232" s="3" t="str">
        <f aca="false">IF(OR(I232="",J232=""),"",I232-J232)</f>
        <v/>
      </c>
      <c r="L232" s="4"/>
    </row>
    <row r="233" customFormat="false" ht="15" hidden="false" customHeight="false" outlineLevel="0" collapsed="false">
      <c r="A233" s="3" t="n">
        <v>96</v>
      </c>
      <c r="B233" s="5" t="n">
        <f aca="false">IFERROR(VLOOKUP(A233,Групи!$A$2:$E$26,5,FALSE()),"")</f>
        <v>1</v>
      </c>
      <c r="C233" s="4" t="s">
        <v>201</v>
      </c>
      <c r="D233" s="6" t="s">
        <v>209</v>
      </c>
      <c r="E233" s="6"/>
      <c r="F233" s="3" t="n">
        <v>1</v>
      </c>
      <c r="G233" s="3" t="n">
        <v>1</v>
      </c>
      <c r="H233" s="3" t="n">
        <f aca="false">F233+G233</f>
        <v>2</v>
      </c>
      <c r="I233" s="7"/>
      <c r="J233" s="5" t="n">
        <f aca="false">IF(B233="","",Параметри!$B$4*(F233*INDEX(Параметри!$C$9:$C$12,B233)+G233*INDEX(Параметри!$D$9:$D$12,B233)))</f>
        <v>34</v>
      </c>
      <c r="K233" s="3" t="str">
        <f aca="false">IF(OR(I233="",J233=""),"",I233-J233)</f>
        <v/>
      </c>
      <c r="L233" s="4"/>
    </row>
    <row r="234" customFormat="false" ht="15" hidden="false" customHeight="false" outlineLevel="0" collapsed="false">
      <c r="A234" s="3" t="n">
        <v>96</v>
      </c>
      <c r="B234" s="5" t="n">
        <f aca="false">IFERROR(VLOOKUP(A234,Групи!$A$2:$E$26,5,FALSE()),"")</f>
        <v>1</v>
      </c>
      <c r="C234" s="4" t="s">
        <v>94</v>
      </c>
      <c r="D234" s="6" t="s">
        <v>140</v>
      </c>
      <c r="E234" s="6"/>
      <c r="F234" s="3" t="n">
        <v>1</v>
      </c>
      <c r="G234" s="3" t="n">
        <v>1</v>
      </c>
      <c r="H234" s="3" t="n">
        <f aca="false">F234+G234</f>
        <v>2</v>
      </c>
      <c r="I234" s="7"/>
      <c r="J234" s="5" t="n">
        <f aca="false">IF(B234="","",Параметри!$B$4*(F234*INDEX(Параметри!$C$9:$C$12,B234)+G234*INDEX(Параметри!$D$9:$D$12,B234)))</f>
        <v>34</v>
      </c>
      <c r="K234" s="3" t="str">
        <f aca="false">IF(OR(I234="",J234=""),"",I234-J234)</f>
        <v/>
      </c>
      <c r="L234" s="4" t="s">
        <v>95</v>
      </c>
    </row>
    <row r="235" customFormat="false" ht="15" hidden="false" customHeight="false" outlineLevel="0" collapsed="false">
      <c r="A235" s="3" t="n">
        <v>96</v>
      </c>
      <c r="B235" s="5" t="n">
        <f aca="false">IFERROR(VLOOKUP(A235,Групи!$A$2:$E$26,5,FALSE()),"")</f>
        <v>1</v>
      </c>
      <c r="C235" s="4" t="s">
        <v>203</v>
      </c>
      <c r="D235" s="6" t="s">
        <v>152</v>
      </c>
      <c r="E235" s="6"/>
      <c r="F235" s="3" t="n">
        <v>2</v>
      </c>
      <c r="G235" s="3" t="n">
        <v>2</v>
      </c>
      <c r="H235" s="3" t="n">
        <f aca="false">F235+G235</f>
        <v>4</v>
      </c>
      <c r="I235" s="7"/>
      <c r="J235" s="5" t="n">
        <f aca="false">IF(B235="","",Параметри!$B$4*(F235*INDEX(Параметри!$C$9:$C$12,B235)+G235*INDEX(Параметри!$D$9:$D$12,B235)))</f>
        <v>68</v>
      </c>
      <c r="K235" s="3" t="str">
        <f aca="false">IF(OR(I235="",J235=""),"",I235-J235)</f>
        <v/>
      </c>
      <c r="L235" s="4"/>
    </row>
    <row r="236" customFormat="false" ht="15" hidden="false" customHeight="false" outlineLevel="0" collapsed="false">
      <c r="A236" s="3" t="n">
        <v>96</v>
      </c>
      <c r="B236" s="5" t="n">
        <f aca="false">IFERROR(VLOOKUP(A236,Групи!$A$2:$E$26,5,FALSE()),"")</f>
        <v>1</v>
      </c>
      <c r="C236" s="4" t="s">
        <v>204</v>
      </c>
      <c r="D236" s="6" t="s">
        <v>205</v>
      </c>
      <c r="E236" s="6"/>
      <c r="F236" s="3" t="n">
        <v>1</v>
      </c>
      <c r="G236" s="3" t="n">
        <v>1</v>
      </c>
      <c r="H236" s="3" t="n">
        <f aca="false">F236+G236</f>
        <v>2</v>
      </c>
      <c r="I236" s="7"/>
      <c r="J236" s="5" t="n">
        <f aca="false">IF(B236="","",Параметри!$B$4*(F236*INDEX(Параметри!$C$9:$C$12,B236)+G236*INDEX(Параметри!$D$9:$D$12,B236)))</f>
        <v>34</v>
      </c>
      <c r="K236" s="3" t="str">
        <f aca="false">IF(OR(I236="",J236=""),"",I236-J236)</f>
        <v/>
      </c>
      <c r="L236" s="4"/>
    </row>
    <row r="237" customFormat="false" ht="15" hidden="false" customHeight="false" outlineLevel="0" collapsed="false">
      <c r="A237" s="3" t="n">
        <v>96</v>
      </c>
      <c r="B237" s="5" t="n">
        <f aca="false">IFERROR(VLOOKUP(A237,Групи!$A$2:$E$26,5,FALSE()),"")</f>
        <v>1</v>
      </c>
      <c r="C237" s="4" t="s">
        <v>206</v>
      </c>
      <c r="D237" s="6" t="s">
        <v>210</v>
      </c>
      <c r="E237" s="6"/>
      <c r="F237" s="3" t="n">
        <v>1</v>
      </c>
      <c r="G237" s="3" t="n">
        <v>1</v>
      </c>
      <c r="H237" s="3" t="n">
        <f aca="false">F237+G237</f>
        <v>2</v>
      </c>
      <c r="I237" s="7"/>
      <c r="J237" s="5" t="n">
        <f aca="false">IF(B237="","",Параметри!$B$4*(F237*INDEX(Параметри!$C$9:$C$12,B237)+G237*INDEX(Параметри!$D$9:$D$12,B237)))</f>
        <v>34</v>
      </c>
      <c r="K237" s="3" t="str">
        <f aca="false">IF(OR(I237="",J237=""),"",I237-J237)</f>
        <v/>
      </c>
      <c r="L237" s="4"/>
    </row>
    <row r="238" customFormat="false" ht="15" hidden="false" customHeight="false" outlineLevel="0" collapsed="false">
      <c r="A238" s="3" t="n">
        <v>96</v>
      </c>
      <c r="B238" s="5" t="n">
        <f aca="false">IFERROR(VLOOKUP(A238,Групи!$A$2:$E$26,5,FALSE()),"")</f>
        <v>1</v>
      </c>
      <c r="C238" s="4" t="s">
        <v>207</v>
      </c>
      <c r="D238" s="6" t="s">
        <v>160</v>
      </c>
      <c r="E238" s="6"/>
      <c r="F238" s="3" t="n">
        <v>2</v>
      </c>
      <c r="G238" s="3" t="n">
        <v>2</v>
      </c>
      <c r="H238" s="3" t="n">
        <f aca="false">F238+G238</f>
        <v>4</v>
      </c>
      <c r="I238" s="7"/>
      <c r="J238" s="5" t="n">
        <f aca="false">IF(B238="","",Параметри!$B$4*(F238*INDEX(Параметри!$C$9:$C$12,B238)+G238*INDEX(Параметри!$D$9:$D$12,B238)))</f>
        <v>68</v>
      </c>
      <c r="K238" s="3" t="str">
        <f aca="false">IF(OR(I238="",J238=""),"",I238-J238)</f>
        <v/>
      </c>
      <c r="L238" s="4"/>
    </row>
    <row r="239" customFormat="false" ht="15" hidden="false" customHeight="false" outlineLevel="0" collapsed="false">
      <c r="A239" s="3" t="n">
        <v>96</v>
      </c>
      <c r="B239" s="5" t="n">
        <f aca="false">IFERROR(VLOOKUP(A239,Групи!$A$2:$E$26,5,FALSE()),"")</f>
        <v>1</v>
      </c>
      <c r="C239" s="4" t="s">
        <v>183</v>
      </c>
      <c r="D239" s="6" t="s">
        <v>197</v>
      </c>
      <c r="E239" s="6"/>
      <c r="F239" s="3" t="n">
        <v>3</v>
      </c>
      <c r="G239" s="3" t="n">
        <v>2</v>
      </c>
      <c r="H239" s="3" t="n">
        <f aca="false">F239+G239</f>
        <v>5</v>
      </c>
      <c r="I239" s="7"/>
      <c r="J239" s="5" t="n">
        <f aca="false">IF(B239="","",Параметри!$B$4*(F239*INDEX(Параметри!$C$9:$C$12,B239)+G239*INDEX(Параметри!$D$9:$D$12,B239)))</f>
        <v>86</v>
      </c>
      <c r="K239" s="3" t="str">
        <f aca="false">IF(OR(I239="",J239=""),"",I239-J239)</f>
        <v/>
      </c>
      <c r="L239" s="4"/>
    </row>
    <row r="240" customFormat="false" ht="15" hidden="false" customHeight="false" outlineLevel="0" collapsed="false">
      <c r="A240" s="3" t="n">
        <v>96</v>
      </c>
      <c r="B240" s="5" t="n">
        <f aca="false">IFERROR(VLOOKUP(A240,Групи!$A$2:$E$26,5,FALSE()),"")</f>
        <v>1</v>
      </c>
      <c r="C240" s="4" t="s">
        <v>190</v>
      </c>
      <c r="D240" s="6" t="s">
        <v>108</v>
      </c>
      <c r="E240" s="6"/>
      <c r="F240" s="3" t="n">
        <v>1</v>
      </c>
      <c r="G240" s="3" t="n">
        <v>1</v>
      </c>
      <c r="H240" s="3" t="n">
        <f aca="false">F240+G240</f>
        <v>2</v>
      </c>
      <c r="I240" s="7"/>
      <c r="J240" s="5" t="n">
        <f aca="false">IF(B240="","",Параметри!$B$4*(F240*INDEX(Параметри!$C$9:$C$12,B240)+G240*INDEX(Параметри!$D$9:$D$12,B240)))</f>
        <v>34</v>
      </c>
      <c r="K240" s="3" t="str">
        <f aca="false">IF(OR(I240="",J240=""),"",I240-J240)</f>
        <v/>
      </c>
      <c r="L240" s="4"/>
    </row>
    <row r="241" customFormat="false" ht="15" hidden="false" customHeight="false" outlineLevel="0" collapsed="false">
      <c r="A241" s="3" t="n">
        <v>96</v>
      </c>
      <c r="B241" s="5" t="n">
        <f aca="false">IFERROR(VLOOKUP(A241,Групи!$A$2:$E$26,5,FALSE()),"")</f>
        <v>1</v>
      </c>
      <c r="C241" s="4" t="s">
        <v>191</v>
      </c>
      <c r="D241" s="6" t="s">
        <v>198</v>
      </c>
      <c r="E241" s="6"/>
      <c r="F241" s="3" t="n">
        <v>2</v>
      </c>
      <c r="G241" s="3" t="n">
        <v>1</v>
      </c>
      <c r="H241" s="3" t="n">
        <f aca="false">F241+G241</f>
        <v>3</v>
      </c>
      <c r="I241" s="7"/>
      <c r="J241" s="5" t="n">
        <f aca="false">IF(B241="","",Параметри!$B$4*(F241*INDEX(Параметри!$C$9:$C$12,B241)+G241*INDEX(Параметри!$D$9:$D$12,B241)))</f>
        <v>52</v>
      </c>
      <c r="K241" s="3" t="str">
        <f aca="false">IF(OR(I241="",J241=""),"",I241-J241)</f>
        <v/>
      </c>
      <c r="L241" s="4"/>
    </row>
    <row r="242" customFormat="false" ht="15" hidden="false" customHeight="false" outlineLevel="0" collapsed="false">
      <c r="A242" s="3" t="n">
        <v>96</v>
      </c>
      <c r="B242" s="5" t="n">
        <f aca="false">IFERROR(VLOOKUP(A242,Групи!$A$2:$E$26,5,FALSE()),"")</f>
        <v>1</v>
      </c>
      <c r="C242" s="4" t="s">
        <v>193</v>
      </c>
      <c r="D242" s="6" t="s">
        <v>128</v>
      </c>
      <c r="E242" s="6"/>
      <c r="F242" s="3" t="n">
        <v>1</v>
      </c>
      <c r="G242" s="3" t="n">
        <v>2</v>
      </c>
      <c r="H242" s="3" t="n">
        <f aca="false">F242+G242</f>
        <v>3</v>
      </c>
      <c r="I242" s="7"/>
      <c r="J242" s="5" t="n">
        <f aca="false">IF(B242="","",Параметри!$B$4*(F242*INDEX(Параметри!$C$9:$C$12,B242)+G242*INDEX(Параметри!$D$9:$D$12,B242)))</f>
        <v>50</v>
      </c>
      <c r="K242" s="3" t="str">
        <f aca="false">IF(OR(I242="",J242=""),"",I242-J242)</f>
        <v/>
      </c>
      <c r="L242" s="4" t="s">
        <v>194</v>
      </c>
    </row>
    <row r="243" customFormat="false" ht="15" hidden="false" customHeight="false" outlineLevel="0" collapsed="false">
      <c r="A243" s="3" t="n">
        <v>96</v>
      </c>
      <c r="B243" s="5" t="n">
        <f aca="false">IFERROR(VLOOKUP(A243,Групи!$A$2:$E$26,5,FALSE()),"")</f>
        <v>1</v>
      </c>
      <c r="C243" s="4" t="s">
        <v>208</v>
      </c>
      <c r="D243" s="6" t="s">
        <v>202</v>
      </c>
      <c r="E243" s="6"/>
      <c r="F243" s="3" t="n">
        <v>1</v>
      </c>
      <c r="G243" s="3" t="n">
        <v>2</v>
      </c>
      <c r="H243" s="3" t="n">
        <f aca="false">F243+G243</f>
        <v>3</v>
      </c>
      <c r="I243" s="7"/>
      <c r="J243" s="5" t="n">
        <f aca="false">IF(B243="","",Параметри!$B$4*(F243*INDEX(Параметри!$C$9:$C$12,B243)+G243*INDEX(Параметри!$D$9:$D$12,B243)))</f>
        <v>50</v>
      </c>
      <c r="K243" s="3" t="str">
        <f aca="false">IF(OR(I243="",J243=""),"",I243-J243)</f>
        <v/>
      </c>
      <c r="L243" s="4"/>
    </row>
    <row r="244" customFormat="false" ht="15" hidden="false" customHeight="false" outlineLevel="0" collapsed="false">
      <c r="A244" s="3" t="n">
        <v>97</v>
      </c>
      <c r="B244" s="5" t="n">
        <f aca="false">IFERROR(VLOOKUP(A244,Групи!$A$2:$E$26,5,FALSE()),"")</f>
        <v>1</v>
      </c>
      <c r="C244" s="4" t="s">
        <v>175</v>
      </c>
      <c r="D244" s="6" t="s">
        <v>107</v>
      </c>
      <c r="E244" s="6"/>
      <c r="F244" s="3" t="n">
        <v>2</v>
      </c>
      <c r="G244" s="3" t="n">
        <v>1</v>
      </c>
      <c r="H244" s="3" t="n">
        <f aca="false">F244+G244</f>
        <v>3</v>
      </c>
      <c r="I244" s="7"/>
      <c r="J244" s="5" t="n">
        <f aca="false">IF(B244="","",Параметри!$B$4*(F244*INDEX(Параметри!$C$9:$C$12,B244)+G244*INDEX(Параметри!$D$9:$D$12,B244)))</f>
        <v>52</v>
      </c>
      <c r="K244" s="3" t="str">
        <f aca="false">IF(OR(I244="",J244=""),"",I244-J244)</f>
        <v/>
      </c>
      <c r="L244" s="4"/>
    </row>
    <row r="245" customFormat="false" ht="15" hidden="false" customHeight="false" outlineLevel="0" collapsed="false">
      <c r="A245" s="3" t="n">
        <v>97</v>
      </c>
      <c r="B245" s="5" t="n">
        <f aca="false">IFERROR(VLOOKUP(A245,Групи!$A$2:$E$26,5,FALSE()),"")</f>
        <v>1</v>
      </c>
      <c r="C245" s="4" t="s">
        <v>201</v>
      </c>
      <c r="D245" s="6" t="s">
        <v>202</v>
      </c>
      <c r="E245" s="6"/>
      <c r="F245" s="3" t="n">
        <v>1</v>
      </c>
      <c r="G245" s="3" t="n">
        <v>1</v>
      </c>
      <c r="H245" s="3" t="n">
        <f aca="false">F245+G245</f>
        <v>2</v>
      </c>
      <c r="I245" s="7"/>
      <c r="J245" s="5" t="n">
        <f aca="false">IF(B245="","",Параметри!$B$4*(F245*INDEX(Параметри!$C$9:$C$12,B245)+G245*INDEX(Параметри!$D$9:$D$12,B245)))</f>
        <v>34</v>
      </c>
      <c r="K245" s="3" t="str">
        <f aca="false">IF(OR(I245="",J245=""),"",I245-J245)</f>
        <v/>
      </c>
      <c r="L245" s="4"/>
    </row>
    <row r="246" customFormat="false" ht="15" hidden="false" customHeight="false" outlineLevel="0" collapsed="false">
      <c r="A246" s="3" t="n">
        <v>97</v>
      </c>
      <c r="B246" s="5" t="n">
        <f aca="false">IFERROR(VLOOKUP(A246,Групи!$A$2:$E$26,5,FALSE()),"")</f>
        <v>1</v>
      </c>
      <c r="C246" s="4" t="s">
        <v>94</v>
      </c>
      <c r="D246" s="6" t="s">
        <v>107</v>
      </c>
      <c r="E246" s="6"/>
      <c r="F246" s="3" t="n">
        <v>1</v>
      </c>
      <c r="G246" s="3" t="n">
        <v>1</v>
      </c>
      <c r="H246" s="3" t="n">
        <f aca="false">F246+G246</f>
        <v>2</v>
      </c>
      <c r="I246" s="7"/>
      <c r="J246" s="5" t="n">
        <f aca="false">IF(B246="","",Параметри!$B$4*(F246*INDEX(Параметри!$C$9:$C$12,B246)+G246*INDEX(Параметри!$D$9:$D$12,B246)))</f>
        <v>34</v>
      </c>
      <c r="K246" s="3" t="str">
        <f aca="false">IF(OR(I246="",J246=""),"",I246-J246)</f>
        <v/>
      </c>
      <c r="L246" s="4" t="s">
        <v>95</v>
      </c>
    </row>
    <row r="247" customFormat="false" ht="15" hidden="false" customHeight="false" outlineLevel="0" collapsed="false">
      <c r="A247" s="3" t="n">
        <v>97</v>
      </c>
      <c r="B247" s="5" t="n">
        <f aca="false">IFERROR(VLOOKUP(A247,Групи!$A$2:$E$26,5,FALSE()),"")</f>
        <v>1</v>
      </c>
      <c r="C247" s="4" t="s">
        <v>203</v>
      </c>
      <c r="D247" s="6" t="s">
        <v>130</v>
      </c>
      <c r="E247" s="6"/>
      <c r="F247" s="3" t="n">
        <v>2</v>
      </c>
      <c r="G247" s="3" t="n">
        <v>2</v>
      </c>
      <c r="H247" s="3" t="n">
        <f aca="false">F247+G247</f>
        <v>4</v>
      </c>
      <c r="I247" s="7"/>
      <c r="J247" s="5" t="n">
        <f aca="false">IF(B247="","",Параметри!$B$4*(F247*INDEX(Параметри!$C$9:$C$12,B247)+G247*INDEX(Параметри!$D$9:$D$12,B247)))</f>
        <v>68</v>
      </c>
      <c r="K247" s="3" t="str">
        <f aca="false">IF(OR(I247="",J247=""),"",I247-J247)</f>
        <v/>
      </c>
      <c r="L247" s="4"/>
    </row>
    <row r="248" customFormat="false" ht="15" hidden="false" customHeight="false" outlineLevel="0" collapsed="false">
      <c r="A248" s="3" t="n">
        <v>97</v>
      </c>
      <c r="B248" s="5" t="n">
        <f aca="false">IFERROR(VLOOKUP(A248,Групи!$A$2:$E$26,5,FALSE()),"")</f>
        <v>1</v>
      </c>
      <c r="C248" s="4" t="s">
        <v>204</v>
      </c>
      <c r="D248" s="6" t="s">
        <v>205</v>
      </c>
      <c r="E248" s="6"/>
      <c r="F248" s="3" t="n">
        <v>1</v>
      </c>
      <c r="G248" s="3" t="n">
        <v>1</v>
      </c>
      <c r="H248" s="3" t="n">
        <f aca="false">F248+G248</f>
        <v>2</v>
      </c>
      <c r="I248" s="7"/>
      <c r="J248" s="5" t="n">
        <f aca="false">IF(B248="","",Параметри!$B$4*(F248*INDEX(Параметри!$C$9:$C$12,B248)+G248*INDEX(Параметри!$D$9:$D$12,B248)))</f>
        <v>34</v>
      </c>
      <c r="K248" s="3" t="str">
        <f aca="false">IF(OR(I248="",J248=""),"",I248-J248)</f>
        <v/>
      </c>
      <c r="L248" s="4"/>
    </row>
    <row r="249" customFormat="false" ht="15" hidden="false" customHeight="false" outlineLevel="0" collapsed="false">
      <c r="A249" s="3" t="n">
        <v>97</v>
      </c>
      <c r="B249" s="5" t="n">
        <f aca="false">IFERROR(VLOOKUP(A249,Групи!$A$2:$E$26,5,FALSE()),"")</f>
        <v>1</v>
      </c>
      <c r="C249" s="4" t="s">
        <v>206</v>
      </c>
      <c r="D249" s="6" t="s">
        <v>210</v>
      </c>
      <c r="E249" s="6"/>
      <c r="F249" s="3" t="n">
        <v>1</v>
      </c>
      <c r="G249" s="3" t="n">
        <v>2</v>
      </c>
      <c r="H249" s="3" t="n">
        <f aca="false">F249+G249</f>
        <v>3</v>
      </c>
      <c r="I249" s="7"/>
      <c r="J249" s="5" t="n">
        <f aca="false">IF(B249="","",Параметри!$B$4*(F249*INDEX(Параметри!$C$9:$C$12,B249)+G249*INDEX(Параметри!$D$9:$D$12,B249)))</f>
        <v>50</v>
      </c>
      <c r="K249" s="3" t="str">
        <f aca="false">IF(OR(I249="",J249=""),"",I249-J249)</f>
        <v/>
      </c>
      <c r="L249" s="4"/>
    </row>
    <row r="250" customFormat="false" ht="15" hidden="false" customHeight="false" outlineLevel="0" collapsed="false">
      <c r="A250" s="3" t="n">
        <v>97</v>
      </c>
      <c r="B250" s="5" t="n">
        <f aca="false">IFERROR(VLOOKUP(A250,Групи!$A$2:$E$26,5,FALSE()),"")</f>
        <v>1</v>
      </c>
      <c r="C250" s="4" t="s">
        <v>207</v>
      </c>
      <c r="D250" s="6" t="s">
        <v>160</v>
      </c>
      <c r="E250" s="6"/>
      <c r="F250" s="3" t="n">
        <v>2</v>
      </c>
      <c r="G250" s="3" t="n">
        <v>2</v>
      </c>
      <c r="H250" s="3" t="n">
        <f aca="false">F250+G250</f>
        <v>4</v>
      </c>
      <c r="I250" s="7"/>
      <c r="J250" s="5" t="n">
        <f aca="false">IF(B250="","",Параметри!$B$4*(F250*INDEX(Параметри!$C$9:$C$12,B250)+G250*INDEX(Параметри!$D$9:$D$12,B250)))</f>
        <v>68</v>
      </c>
      <c r="K250" s="3" t="str">
        <f aca="false">IF(OR(I250="",J250=""),"",I250-J250)</f>
        <v/>
      </c>
      <c r="L250" s="4"/>
    </row>
    <row r="251" customFormat="false" ht="15" hidden="false" customHeight="false" outlineLevel="0" collapsed="false">
      <c r="A251" s="3" t="n">
        <v>97</v>
      </c>
      <c r="B251" s="5" t="n">
        <f aca="false">IFERROR(VLOOKUP(A251,Групи!$A$2:$E$26,5,FALSE()),"")</f>
        <v>1</v>
      </c>
      <c r="C251" s="4" t="s">
        <v>183</v>
      </c>
      <c r="D251" s="6" t="s">
        <v>197</v>
      </c>
      <c r="E251" s="6"/>
      <c r="F251" s="3" t="n">
        <v>2</v>
      </c>
      <c r="G251" s="3" t="n">
        <v>1</v>
      </c>
      <c r="H251" s="3" t="n">
        <f aca="false">F251+G251</f>
        <v>3</v>
      </c>
      <c r="I251" s="7"/>
      <c r="J251" s="5" t="n">
        <f aca="false">IF(B251="","",Параметри!$B$4*(F251*INDEX(Параметри!$C$9:$C$12,B251)+G251*INDEX(Параметри!$D$9:$D$12,B251)))</f>
        <v>52</v>
      </c>
      <c r="K251" s="3" t="str">
        <f aca="false">IF(OR(I251="",J251=""),"",I251-J251)</f>
        <v/>
      </c>
      <c r="L251" s="4"/>
    </row>
    <row r="252" customFormat="false" ht="15" hidden="false" customHeight="false" outlineLevel="0" collapsed="false">
      <c r="A252" s="3" t="n">
        <v>97</v>
      </c>
      <c r="B252" s="5" t="n">
        <f aca="false">IFERROR(VLOOKUP(A252,Групи!$A$2:$E$26,5,FALSE()),"")</f>
        <v>1</v>
      </c>
      <c r="C252" s="4" t="s">
        <v>190</v>
      </c>
      <c r="D252" s="6" t="s">
        <v>108</v>
      </c>
      <c r="E252" s="6"/>
      <c r="F252" s="3" t="n">
        <v>1</v>
      </c>
      <c r="G252" s="3" t="n">
        <v>1</v>
      </c>
      <c r="H252" s="3" t="n">
        <f aca="false">F252+G252</f>
        <v>2</v>
      </c>
      <c r="I252" s="7"/>
      <c r="J252" s="5" t="n">
        <f aca="false">IF(B252="","",Параметри!$B$4*(F252*INDEX(Параметри!$C$9:$C$12,B252)+G252*INDEX(Параметри!$D$9:$D$12,B252)))</f>
        <v>34</v>
      </c>
      <c r="K252" s="3" t="str">
        <f aca="false">IF(OR(I252="",J252=""),"",I252-J252)</f>
        <v/>
      </c>
      <c r="L252" s="4"/>
    </row>
    <row r="253" customFormat="false" ht="15" hidden="false" customHeight="false" outlineLevel="0" collapsed="false">
      <c r="A253" s="3" t="n">
        <v>97</v>
      </c>
      <c r="B253" s="5" t="n">
        <f aca="false">IFERROR(VLOOKUP(A253,Групи!$A$2:$E$26,5,FALSE()),"")</f>
        <v>1</v>
      </c>
      <c r="C253" s="4" t="s">
        <v>191</v>
      </c>
      <c r="D253" s="6" t="s">
        <v>198</v>
      </c>
      <c r="E253" s="6"/>
      <c r="F253" s="3" t="n">
        <v>1</v>
      </c>
      <c r="G253" s="3" t="n">
        <v>2</v>
      </c>
      <c r="H253" s="3" t="n">
        <f aca="false">F253+G253</f>
        <v>3</v>
      </c>
      <c r="I253" s="7"/>
      <c r="J253" s="5" t="n">
        <f aca="false">IF(B253="","",Параметри!$B$4*(F253*INDEX(Параметри!$C$9:$C$12,B253)+G253*INDEX(Параметри!$D$9:$D$12,B253)))</f>
        <v>50</v>
      </c>
      <c r="K253" s="3" t="str">
        <f aca="false">IF(OR(I253="",J253=""),"",I253-J253)</f>
        <v/>
      </c>
      <c r="L253" s="4"/>
    </row>
    <row r="254" customFormat="false" ht="15" hidden="false" customHeight="false" outlineLevel="0" collapsed="false">
      <c r="A254" s="3" t="n">
        <v>97</v>
      </c>
      <c r="B254" s="5" t="n">
        <f aca="false">IFERROR(VLOOKUP(A254,Групи!$A$2:$E$26,5,FALSE()),"")</f>
        <v>1</v>
      </c>
      <c r="C254" s="4" t="s">
        <v>193</v>
      </c>
      <c r="D254" s="6" t="s">
        <v>106</v>
      </c>
      <c r="E254" s="6"/>
      <c r="F254" s="3" t="n">
        <v>1</v>
      </c>
      <c r="G254" s="3" t="n">
        <v>2</v>
      </c>
      <c r="H254" s="3" t="n">
        <f aca="false">F254+G254</f>
        <v>3</v>
      </c>
      <c r="I254" s="7"/>
      <c r="J254" s="5" t="n">
        <f aca="false">IF(B254="","",Параметри!$B$4*(F254*INDEX(Параметри!$C$9:$C$12,B254)+G254*INDEX(Параметри!$D$9:$D$12,B254)))</f>
        <v>50</v>
      </c>
      <c r="K254" s="3" t="str">
        <f aca="false">IF(OR(I254="",J254=""),"",I254-J254)</f>
        <v/>
      </c>
      <c r="L254" s="4" t="s">
        <v>194</v>
      </c>
    </row>
    <row r="255" customFormat="false" ht="15" hidden="false" customHeight="false" outlineLevel="0" collapsed="false">
      <c r="A255" s="3" t="n">
        <v>97</v>
      </c>
      <c r="B255" s="5" t="n">
        <f aca="false">IFERROR(VLOOKUP(A255,Групи!$A$2:$E$26,5,FALSE()),"")</f>
        <v>1</v>
      </c>
      <c r="C255" s="4" t="s">
        <v>208</v>
      </c>
      <c r="D255" s="6" t="s">
        <v>202</v>
      </c>
      <c r="E255" s="6"/>
      <c r="F255" s="3" t="n">
        <v>2</v>
      </c>
      <c r="G255" s="3" t="n">
        <v>1</v>
      </c>
      <c r="H255" s="3" t="n">
        <f aca="false">F255+G255</f>
        <v>3</v>
      </c>
      <c r="I255" s="7"/>
      <c r="J255" s="5" t="n">
        <f aca="false">IF(B255="","",Параметри!$B$4*(F255*INDEX(Параметри!$C$9:$C$12,B255)+G255*INDEX(Параметри!$D$9:$D$12,B255)))</f>
        <v>52</v>
      </c>
      <c r="K255" s="3" t="str">
        <f aca="false">IF(OR(I255="",J255=""),"",I255-J255)</f>
        <v/>
      </c>
      <c r="L255" s="4"/>
    </row>
    <row r="256" customFormat="false" ht="15" hidden="false" customHeight="false" outlineLevel="0" collapsed="false">
      <c r="A256" s="3" t="n">
        <v>98</v>
      </c>
      <c r="B256" s="5" t="n">
        <f aca="false">IFERROR(VLOOKUP(A256,Групи!$A$2:$E$26,5,FALSE()),"")</f>
        <v>1</v>
      </c>
      <c r="C256" s="4" t="s">
        <v>175</v>
      </c>
      <c r="D256" s="6" t="s">
        <v>119</v>
      </c>
      <c r="E256" s="6"/>
      <c r="F256" s="3" t="n">
        <v>1</v>
      </c>
      <c r="G256" s="3" t="n">
        <v>1</v>
      </c>
      <c r="H256" s="3" t="n">
        <f aca="false">F256+G256</f>
        <v>2</v>
      </c>
      <c r="I256" s="7"/>
      <c r="J256" s="5" t="n">
        <f aca="false">IF(B256="","",Параметри!$B$4*(F256*INDEX(Параметри!$C$9:$C$12,B256)+G256*INDEX(Параметри!$D$9:$D$12,B256)))</f>
        <v>34</v>
      </c>
      <c r="K256" s="3" t="str">
        <f aca="false">IF(OR(I256="",J256=""),"",I256-J256)</f>
        <v/>
      </c>
      <c r="L256" s="4"/>
    </row>
    <row r="257" customFormat="false" ht="15" hidden="false" customHeight="false" outlineLevel="0" collapsed="false">
      <c r="A257" s="3" t="n">
        <v>98</v>
      </c>
      <c r="B257" s="5" t="n">
        <f aca="false">IFERROR(VLOOKUP(A257,Групи!$A$2:$E$26,5,FALSE()),"")</f>
        <v>1</v>
      </c>
      <c r="C257" s="4" t="s">
        <v>201</v>
      </c>
      <c r="D257" s="6" t="s">
        <v>202</v>
      </c>
      <c r="E257" s="6"/>
      <c r="F257" s="3" t="n">
        <v>1</v>
      </c>
      <c r="G257" s="3" t="n">
        <v>1</v>
      </c>
      <c r="H257" s="3" t="n">
        <f aca="false">F257+G257</f>
        <v>2</v>
      </c>
      <c r="I257" s="7"/>
      <c r="J257" s="5" t="n">
        <f aca="false">IF(B257="","",Параметри!$B$4*(F257*INDEX(Параметри!$C$9:$C$12,B257)+G257*INDEX(Параметри!$D$9:$D$12,B257)))</f>
        <v>34</v>
      </c>
      <c r="K257" s="3" t="str">
        <f aca="false">IF(OR(I257="",J257=""),"",I257-J257)</f>
        <v/>
      </c>
      <c r="L257" s="4"/>
    </row>
    <row r="258" customFormat="false" ht="15" hidden="false" customHeight="false" outlineLevel="0" collapsed="false">
      <c r="A258" s="3" t="n">
        <v>98</v>
      </c>
      <c r="B258" s="5" t="n">
        <f aca="false">IFERROR(VLOOKUP(A258,Групи!$A$2:$E$26,5,FALSE()),"")</f>
        <v>1</v>
      </c>
      <c r="C258" s="4" t="s">
        <v>94</v>
      </c>
      <c r="D258" s="6" t="s">
        <v>119</v>
      </c>
      <c r="E258" s="6"/>
      <c r="F258" s="3" t="n">
        <v>1</v>
      </c>
      <c r="G258" s="3" t="n">
        <v>1</v>
      </c>
      <c r="H258" s="3" t="n">
        <f aca="false">F258+G258</f>
        <v>2</v>
      </c>
      <c r="I258" s="7"/>
      <c r="J258" s="5" t="n">
        <f aca="false">IF(B258="","",Параметри!$B$4*(F258*INDEX(Параметри!$C$9:$C$12,B258)+G258*INDEX(Параметри!$D$9:$D$12,B258)))</f>
        <v>34</v>
      </c>
      <c r="K258" s="3" t="str">
        <f aca="false">IF(OR(I258="",J258=""),"",I258-J258)</f>
        <v/>
      </c>
      <c r="L258" s="4" t="s">
        <v>95</v>
      </c>
    </row>
    <row r="259" customFormat="false" ht="15" hidden="false" customHeight="false" outlineLevel="0" collapsed="false">
      <c r="A259" s="3" t="n">
        <v>98</v>
      </c>
      <c r="B259" s="5" t="n">
        <f aca="false">IFERROR(VLOOKUP(A259,Групи!$A$2:$E$26,5,FALSE()),"")</f>
        <v>1</v>
      </c>
      <c r="C259" s="4" t="s">
        <v>203</v>
      </c>
      <c r="D259" s="6" t="s">
        <v>130</v>
      </c>
      <c r="E259" s="6"/>
      <c r="F259" s="3" t="n">
        <v>2</v>
      </c>
      <c r="G259" s="3" t="n">
        <v>2</v>
      </c>
      <c r="H259" s="3" t="n">
        <f aca="false">F259+G259</f>
        <v>4</v>
      </c>
      <c r="I259" s="7"/>
      <c r="J259" s="5" t="n">
        <f aca="false">IF(B259="","",Параметри!$B$4*(F259*INDEX(Параметри!$C$9:$C$12,B259)+G259*INDEX(Параметри!$D$9:$D$12,B259)))</f>
        <v>68</v>
      </c>
      <c r="K259" s="3" t="str">
        <f aca="false">IF(OR(I259="",J259=""),"",I259-J259)</f>
        <v/>
      </c>
      <c r="L259" s="4"/>
    </row>
    <row r="260" customFormat="false" ht="15" hidden="false" customHeight="false" outlineLevel="0" collapsed="false">
      <c r="A260" s="3" t="n">
        <v>98</v>
      </c>
      <c r="B260" s="5" t="n">
        <f aca="false">IFERROR(VLOOKUP(A260,Групи!$A$2:$E$26,5,FALSE()),"")</f>
        <v>1</v>
      </c>
      <c r="C260" s="4" t="s">
        <v>204</v>
      </c>
      <c r="D260" s="6" t="s">
        <v>205</v>
      </c>
      <c r="E260" s="6"/>
      <c r="F260" s="3" t="n">
        <v>1</v>
      </c>
      <c r="G260" s="3" t="n">
        <v>1</v>
      </c>
      <c r="H260" s="3" t="n">
        <f aca="false">F260+G260</f>
        <v>2</v>
      </c>
      <c r="I260" s="7"/>
      <c r="J260" s="5" t="n">
        <f aca="false">IF(B260="","",Параметри!$B$4*(F260*INDEX(Параметри!$C$9:$C$12,B260)+G260*INDEX(Параметри!$D$9:$D$12,B260)))</f>
        <v>34</v>
      </c>
      <c r="K260" s="3" t="str">
        <f aca="false">IF(OR(I260="",J260=""),"",I260-J260)</f>
        <v/>
      </c>
      <c r="L260" s="4"/>
    </row>
    <row r="261" customFormat="false" ht="15" hidden="false" customHeight="false" outlineLevel="0" collapsed="false">
      <c r="A261" s="3" t="n">
        <v>98</v>
      </c>
      <c r="B261" s="5" t="n">
        <f aca="false">IFERROR(VLOOKUP(A261,Групи!$A$2:$E$26,5,FALSE()),"")</f>
        <v>1</v>
      </c>
      <c r="C261" s="4" t="s">
        <v>206</v>
      </c>
      <c r="D261" s="6" t="s">
        <v>210</v>
      </c>
      <c r="E261" s="6"/>
      <c r="F261" s="3" t="n">
        <v>1</v>
      </c>
      <c r="G261" s="3" t="n">
        <v>1</v>
      </c>
      <c r="H261" s="3" t="n">
        <f aca="false">F261+G261</f>
        <v>2</v>
      </c>
      <c r="I261" s="7"/>
      <c r="J261" s="5" t="n">
        <f aca="false">IF(B261="","",Параметри!$B$4*(F261*INDEX(Параметри!$C$9:$C$12,B261)+G261*INDEX(Параметри!$D$9:$D$12,B261)))</f>
        <v>34</v>
      </c>
      <c r="K261" s="3" t="str">
        <f aca="false">IF(OR(I261="",J261=""),"",I261-J261)</f>
        <v/>
      </c>
      <c r="L261" s="4"/>
    </row>
    <row r="262" customFormat="false" ht="15" hidden="false" customHeight="false" outlineLevel="0" collapsed="false">
      <c r="A262" s="3" t="n">
        <v>98</v>
      </c>
      <c r="B262" s="5" t="n">
        <f aca="false">IFERROR(VLOOKUP(A262,Групи!$A$2:$E$26,5,FALSE()),"")</f>
        <v>1</v>
      </c>
      <c r="C262" s="4" t="s">
        <v>207</v>
      </c>
      <c r="D262" s="6" t="s">
        <v>160</v>
      </c>
      <c r="E262" s="6"/>
      <c r="F262" s="3" t="n">
        <v>2</v>
      </c>
      <c r="G262" s="3" t="n">
        <v>2</v>
      </c>
      <c r="H262" s="3" t="n">
        <f aca="false">F262+G262</f>
        <v>4</v>
      </c>
      <c r="I262" s="7"/>
      <c r="J262" s="5" t="n">
        <f aca="false">IF(B262="","",Параметри!$B$4*(F262*INDEX(Параметри!$C$9:$C$12,B262)+G262*INDEX(Параметри!$D$9:$D$12,B262)))</f>
        <v>68</v>
      </c>
      <c r="K262" s="3" t="str">
        <f aca="false">IF(OR(I262="",J262=""),"",I262-J262)</f>
        <v/>
      </c>
      <c r="L262" s="4"/>
    </row>
    <row r="263" customFormat="false" ht="15" hidden="false" customHeight="false" outlineLevel="0" collapsed="false">
      <c r="A263" s="3" t="n">
        <v>98</v>
      </c>
      <c r="B263" s="5" t="n">
        <f aca="false">IFERROR(VLOOKUP(A263,Групи!$A$2:$E$26,5,FALSE()),"")</f>
        <v>1</v>
      </c>
      <c r="C263" s="4" t="s">
        <v>183</v>
      </c>
      <c r="D263" s="6" t="s">
        <v>143</v>
      </c>
      <c r="E263" s="6"/>
      <c r="F263" s="3" t="n">
        <v>2</v>
      </c>
      <c r="G263" s="3" t="n">
        <v>1</v>
      </c>
      <c r="H263" s="3" t="n">
        <f aca="false">F263+G263</f>
        <v>3</v>
      </c>
      <c r="I263" s="7"/>
      <c r="J263" s="5" t="n">
        <f aca="false">IF(B263="","",Параметри!$B$4*(F263*INDEX(Параметри!$C$9:$C$12,B263)+G263*INDEX(Параметри!$D$9:$D$12,B263)))</f>
        <v>52</v>
      </c>
      <c r="K263" s="3" t="str">
        <f aca="false">IF(OR(I263="",J263=""),"",I263-J263)</f>
        <v/>
      </c>
      <c r="L263" s="4"/>
    </row>
    <row r="264" customFormat="false" ht="15" hidden="false" customHeight="false" outlineLevel="0" collapsed="false">
      <c r="A264" s="3" t="n">
        <v>98</v>
      </c>
      <c r="B264" s="5" t="n">
        <f aca="false">IFERROR(VLOOKUP(A264,Групи!$A$2:$E$26,5,FALSE()),"")</f>
        <v>1</v>
      </c>
      <c r="C264" s="4" t="s">
        <v>190</v>
      </c>
      <c r="D264" s="6" t="s">
        <v>165</v>
      </c>
      <c r="E264" s="6"/>
      <c r="F264" s="3" t="n">
        <v>1</v>
      </c>
      <c r="G264" s="3" t="n">
        <v>1</v>
      </c>
      <c r="H264" s="3" t="n">
        <f aca="false">F264+G264</f>
        <v>2</v>
      </c>
      <c r="I264" s="7"/>
      <c r="J264" s="5" t="n">
        <f aca="false">IF(B264="","",Параметри!$B$4*(F264*INDEX(Параметри!$C$9:$C$12,B264)+G264*INDEX(Параметри!$D$9:$D$12,B264)))</f>
        <v>34</v>
      </c>
      <c r="K264" s="3" t="str">
        <f aca="false">IF(OR(I264="",J264=""),"",I264-J264)</f>
        <v/>
      </c>
      <c r="L264" s="4"/>
    </row>
    <row r="265" customFormat="false" ht="15" hidden="false" customHeight="false" outlineLevel="0" collapsed="false">
      <c r="A265" s="3" t="n">
        <v>98</v>
      </c>
      <c r="B265" s="5" t="n">
        <f aca="false">IFERROR(VLOOKUP(A265,Групи!$A$2:$E$26,5,FALSE()),"")</f>
        <v>1</v>
      </c>
      <c r="C265" s="4" t="s">
        <v>191</v>
      </c>
      <c r="D265" s="6" t="s">
        <v>198</v>
      </c>
      <c r="E265" s="6"/>
      <c r="F265" s="3" t="n">
        <v>3</v>
      </c>
      <c r="G265" s="3" t="n">
        <v>2</v>
      </c>
      <c r="H265" s="3" t="n">
        <f aca="false">F265+G265</f>
        <v>5</v>
      </c>
      <c r="I265" s="7"/>
      <c r="J265" s="5" t="n">
        <f aca="false">IF(B265="","",Параметри!$B$4*(F265*INDEX(Параметри!$C$9:$C$12,B265)+G265*INDEX(Параметри!$D$9:$D$12,B265)))</f>
        <v>86</v>
      </c>
      <c r="K265" s="3" t="str">
        <f aca="false">IF(OR(I265="",J265=""),"",I265-J265)</f>
        <v/>
      </c>
      <c r="L265" s="4"/>
    </row>
    <row r="266" customFormat="false" ht="15" hidden="false" customHeight="false" outlineLevel="0" collapsed="false">
      <c r="A266" s="3" t="n">
        <v>98</v>
      </c>
      <c r="B266" s="5" t="n">
        <f aca="false">IFERROR(VLOOKUP(A266,Групи!$A$2:$E$26,5,FALSE()),"")</f>
        <v>1</v>
      </c>
      <c r="C266" s="4" t="s">
        <v>193</v>
      </c>
      <c r="D266" s="6" t="s">
        <v>106</v>
      </c>
      <c r="E266" s="6"/>
      <c r="F266" s="3" t="n">
        <v>1</v>
      </c>
      <c r="G266" s="3" t="n">
        <v>2</v>
      </c>
      <c r="H266" s="3" t="n">
        <f aca="false">F266+G266</f>
        <v>3</v>
      </c>
      <c r="I266" s="7"/>
      <c r="J266" s="5" t="n">
        <f aca="false">IF(B266="","",Параметри!$B$4*(F266*INDEX(Параметри!$C$9:$C$12,B266)+G266*INDEX(Параметри!$D$9:$D$12,B266)))</f>
        <v>50</v>
      </c>
      <c r="K266" s="3" t="str">
        <f aca="false">IF(OR(I266="",J266=""),"",I266-J266)</f>
        <v/>
      </c>
      <c r="L266" s="4" t="s">
        <v>194</v>
      </c>
    </row>
    <row r="267" customFormat="false" ht="15" hidden="false" customHeight="false" outlineLevel="0" collapsed="false">
      <c r="A267" s="3" t="n">
        <v>98</v>
      </c>
      <c r="B267" s="5" t="n">
        <f aca="false">IFERROR(VLOOKUP(A267,Групи!$A$2:$E$26,5,FALSE()),"")</f>
        <v>1</v>
      </c>
      <c r="C267" s="4" t="s">
        <v>208</v>
      </c>
      <c r="D267" s="6" t="s">
        <v>202</v>
      </c>
      <c r="E267" s="6"/>
      <c r="F267" s="3" t="n">
        <v>1</v>
      </c>
      <c r="G267" s="3" t="n">
        <v>2</v>
      </c>
      <c r="H267" s="3" t="n">
        <f aca="false">F267+G267</f>
        <v>3</v>
      </c>
      <c r="I267" s="7"/>
      <c r="J267" s="5" t="n">
        <f aca="false">IF(B267="","",Параметри!$B$4*(F267*INDEX(Параметри!$C$9:$C$12,B267)+G267*INDEX(Параметри!$D$9:$D$12,B267)))</f>
        <v>50</v>
      </c>
      <c r="K267" s="3" t="str">
        <f aca="false">IF(OR(I267="",J267=""),"",I267-J267)</f>
        <v/>
      </c>
      <c r="L267" s="4"/>
    </row>
    <row r="268" customFormat="false" ht="15" hidden="false" customHeight="false" outlineLevel="0" collapsed="false">
      <c r="A268" s="3" t="n">
        <v>99</v>
      </c>
      <c r="B268" s="5" t="n">
        <f aca="false">IFERROR(VLOOKUP(A268,Групи!$A$2:$E$26,5,FALSE()),"")</f>
        <v>1</v>
      </c>
      <c r="C268" s="4" t="s">
        <v>195</v>
      </c>
      <c r="D268" s="6" t="s">
        <v>111</v>
      </c>
      <c r="E268" s="6"/>
      <c r="F268" s="3" t="n">
        <v>3</v>
      </c>
      <c r="G268" s="3" t="n">
        <v>3</v>
      </c>
      <c r="H268" s="3" t="n">
        <f aca="false">F268+G268</f>
        <v>6</v>
      </c>
      <c r="I268" s="7"/>
      <c r="J268" s="5" t="n">
        <f aca="false">IF(B268="","",Параметри!$B$4*(F268*INDEX(Параметри!$C$9:$C$12,B268)+G268*INDEX(Параметри!$D$9:$D$12,B268)))</f>
        <v>102</v>
      </c>
      <c r="K268" s="3" t="str">
        <f aca="false">IF(OR(I268="",J268=""),"",I268-J268)</f>
        <v/>
      </c>
      <c r="L268" s="4"/>
    </row>
    <row r="269" customFormat="false" ht="15" hidden="false" customHeight="false" outlineLevel="0" collapsed="false">
      <c r="A269" s="3" t="n">
        <v>99</v>
      </c>
      <c r="B269" s="5" t="n">
        <f aca="false">IFERROR(VLOOKUP(A269,Групи!$A$2:$E$26,5,FALSE()),"")</f>
        <v>1</v>
      </c>
      <c r="C269" s="4" t="s">
        <v>175</v>
      </c>
      <c r="D269" s="6" t="s">
        <v>107</v>
      </c>
      <c r="E269" s="6"/>
      <c r="F269" s="3" t="n">
        <v>1</v>
      </c>
      <c r="G269" s="3" t="n">
        <v>0</v>
      </c>
      <c r="H269" s="3" t="n">
        <f aca="false">F269+G269</f>
        <v>1</v>
      </c>
      <c r="I269" s="7"/>
      <c r="J269" s="5" t="n">
        <f aca="false">IF(B269="","",Параметри!$B$4*(F269*INDEX(Параметри!$C$9:$C$12,B269)+G269*INDEX(Параметри!$D$9:$D$12,B269)))</f>
        <v>18</v>
      </c>
      <c r="K269" s="3" t="str">
        <f aca="false">IF(OR(I269="",J269=""),"",I269-J269)</f>
        <v/>
      </c>
      <c r="L269" s="4"/>
    </row>
    <row r="270" customFormat="false" ht="15" hidden="false" customHeight="false" outlineLevel="0" collapsed="false">
      <c r="A270" s="3" t="n">
        <v>99</v>
      </c>
      <c r="B270" s="5" t="n">
        <f aca="false">IFERROR(VLOOKUP(A270,Групи!$A$2:$E$26,5,FALSE()),"")</f>
        <v>1</v>
      </c>
      <c r="C270" s="4" t="s">
        <v>90</v>
      </c>
      <c r="D270" s="6" t="s">
        <v>107</v>
      </c>
      <c r="E270" s="6"/>
      <c r="F270" s="3" t="n">
        <v>0</v>
      </c>
      <c r="G270" s="3" t="n">
        <v>1</v>
      </c>
      <c r="H270" s="3" t="n">
        <f aca="false">F270+G270</f>
        <v>1</v>
      </c>
      <c r="I270" s="7"/>
      <c r="J270" s="5" t="n">
        <f aca="false">IF(B270="","",Параметри!$B$4*(F270*INDEX(Параметри!$C$9:$C$12,B270)+G270*INDEX(Параметри!$D$9:$D$12,B270)))</f>
        <v>16</v>
      </c>
      <c r="K270" s="3" t="str">
        <f aca="false">IF(OR(I270="",J270=""),"",I270-J270)</f>
        <v/>
      </c>
      <c r="L270" s="4"/>
    </row>
    <row r="271" customFormat="false" ht="15" hidden="false" customHeight="false" outlineLevel="0" collapsed="false">
      <c r="A271" s="3" t="n">
        <v>99</v>
      </c>
      <c r="B271" s="5" t="n">
        <f aca="false">IFERROR(VLOOKUP(A271,Групи!$A$2:$E$26,5,FALSE()),"")</f>
        <v>1</v>
      </c>
      <c r="C271" s="4" t="s">
        <v>196</v>
      </c>
      <c r="D271" s="6" t="s">
        <v>123</v>
      </c>
      <c r="E271" s="6"/>
      <c r="F271" s="3" t="n">
        <v>3</v>
      </c>
      <c r="G271" s="3" t="n">
        <v>3</v>
      </c>
      <c r="H271" s="3" t="n">
        <f aca="false">F271+G271</f>
        <v>6</v>
      </c>
      <c r="I271" s="7"/>
      <c r="J271" s="5" t="n">
        <f aca="false">IF(B271="","",Параметри!$B$4*(F271*INDEX(Параметри!$C$9:$C$12,B271)+G271*INDEX(Параметри!$D$9:$D$12,B271)))</f>
        <v>102</v>
      </c>
      <c r="K271" s="3" t="str">
        <f aca="false">IF(OR(I271="",J271=""),"",I271-J271)</f>
        <v/>
      </c>
      <c r="L271" s="4"/>
    </row>
    <row r="272" customFormat="false" ht="15" hidden="false" customHeight="false" outlineLevel="0" collapsed="false">
      <c r="A272" s="3" t="n">
        <v>99</v>
      </c>
      <c r="B272" s="5" t="n">
        <f aca="false">IFERROR(VLOOKUP(A272,Групи!$A$2:$E$26,5,FALSE()),"")</f>
        <v>1</v>
      </c>
      <c r="C272" s="4" t="s">
        <v>94</v>
      </c>
      <c r="D272" s="6" t="s">
        <v>118</v>
      </c>
      <c r="E272" s="6"/>
      <c r="F272" s="3" t="n">
        <v>1</v>
      </c>
      <c r="G272" s="3" t="n">
        <v>1</v>
      </c>
      <c r="H272" s="3" t="n">
        <f aca="false">F272+G272</f>
        <v>2</v>
      </c>
      <c r="I272" s="7"/>
      <c r="J272" s="5" t="n">
        <f aca="false">IF(B272="","",Параметри!$B$4*(F272*INDEX(Параметри!$C$9:$C$12,B272)+G272*INDEX(Параметри!$D$9:$D$12,B272)))</f>
        <v>34</v>
      </c>
      <c r="K272" s="3" t="str">
        <f aca="false">IF(OR(I272="",J272=""),"",I272-J272)</f>
        <v/>
      </c>
      <c r="L272" s="4" t="s">
        <v>95</v>
      </c>
    </row>
    <row r="273" customFormat="false" ht="15" hidden="false" customHeight="false" outlineLevel="0" collapsed="false">
      <c r="A273" s="3" t="n">
        <v>99</v>
      </c>
      <c r="B273" s="5" t="n">
        <f aca="false">IFERROR(VLOOKUP(A273,Групи!$A$2:$E$26,5,FALSE()),"")</f>
        <v>1</v>
      </c>
      <c r="C273" s="4" t="s">
        <v>211</v>
      </c>
      <c r="D273" s="6" t="s">
        <v>168</v>
      </c>
      <c r="E273" s="6"/>
      <c r="F273" s="3" t="n">
        <v>3</v>
      </c>
      <c r="G273" s="3" t="n">
        <v>3</v>
      </c>
      <c r="H273" s="3" t="n">
        <f aca="false">F273+G273</f>
        <v>6</v>
      </c>
      <c r="I273" s="7"/>
      <c r="J273" s="5" t="n">
        <f aca="false">IF(B273="","",Параметри!$B$4*(F273*INDEX(Параметри!$C$9:$C$12,B273)+G273*INDEX(Параметри!$D$9:$D$12,B273)))</f>
        <v>102</v>
      </c>
      <c r="K273" s="3" t="str">
        <f aca="false">IF(OR(I273="",J273=""),"",I273-J273)</f>
        <v/>
      </c>
      <c r="L273" s="4"/>
    </row>
    <row r="274" customFormat="false" ht="15" hidden="false" customHeight="false" outlineLevel="0" collapsed="false">
      <c r="A274" s="3" t="n">
        <v>99</v>
      </c>
      <c r="B274" s="5" t="n">
        <f aca="false">IFERROR(VLOOKUP(A274,Групи!$A$2:$E$26,5,FALSE()),"")</f>
        <v>1</v>
      </c>
      <c r="C274" s="4" t="s">
        <v>212</v>
      </c>
      <c r="D274" s="6" t="s">
        <v>114</v>
      </c>
      <c r="E274" s="6"/>
      <c r="F274" s="3" t="n">
        <v>3</v>
      </c>
      <c r="G274" s="3" t="n">
        <v>3</v>
      </c>
      <c r="H274" s="3" t="n">
        <f aca="false">F274+G274</f>
        <v>6</v>
      </c>
      <c r="I274" s="7"/>
      <c r="J274" s="5" t="n">
        <f aca="false">IF(B274="","",Параметри!$B$4*(F274*INDEX(Параметри!$C$9:$C$12,B274)+G274*INDEX(Параметри!$D$9:$D$12,B274)))</f>
        <v>102</v>
      </c>
      <c r="K274" s="3" t="str">
        <f aca="false">IF(OR(I274="",J274=""),"",I274-J274)</f>
        <v/>
      </c>
      <c r="L274" s="4"/>
    </row>
    <row r="275" customFormat="false" ht="15" hidden="false" customHeight="false" outlineLevel="0" collapsed="false">
      <c r="A275" s="3" t="n">
        <v>99</v>
      </c>
      <c r="B275" s="5" t="n">
        <f aca="false">IFERROR(VLOOKUP(A275,Групи!$A$2:$E$26,5,FALSE()),"")</f>
        <v>1</v>
      </c>
      <c r="C275" s="4" t="s">
        <v>213</v>
      </c>
      <c r="D275" s="6" t="s">
        <v>135</v>
      </c>
      <c r="E275" s="6"/>
      <c r="F275" s="3" t="n">
        <v>2</v>
      </c>
      <c r="G275" s="3" t="n">
        <v>2</v>
      </c>
      <c r="H275" s="3" t="n">
        <f aca="false">F275+G275</f>
        <v>4</v>
      </c>
      <c r="I275" s="7"/>
      <c r="J275" s="5" t="n">
        <f aca="false">IF(B275="","",Параметри!$B$4*(F275*INDEX(Параметри!$C$9:$C$12,B275)+G275*INDEX(Параметри!$D$9:$D$12,B275)))</f>
        <v>68</v>
      </c>
      <c r="K275" s="3" t="str">
        <f aca="false">IF(OR(I275="",J275=""),"",I275-J275)</f>
        <v/>
      </c>
      <c r="L275" s="4"/>
    </row>
    <row r="276" customFormat="false" ht="15" hidden="false" customHeight="false" outlineLevel="0" collapsed="false">
      <c r="A276" s="3" t="n">
        <v>99</v>
      </c>
      <c r="B276" s="5" t="n">
        <f aca="false">IFERROR(VLOOKUP(A276,Групи!$A$2:$E$26,5,FALSE()),"")</f>
        <v>1</v>
      </c>
      <c r="C276" s="4" t="s">
        <v>105</v>
      </c>
      <c r="D276" s="6" t="s">
        <v>147</v>
      </c>
      <c r="E276" s="6"/>
      <c r="F276" s="3" t="n">
        <v>1</v>
      </c>
      <c r="G276" s="3" t="n">
        <v>1</v>
      </c>
      <c r="H276" s="3" t="n">
        <f aca="false">F276+G276</f>
        <v>2</v>
      </c>
      <c r="I276" s="7"/>
      <c r="J276" s="5" t="n">
        <f aca="false">IF(B276="","",Параметри!$B$4*(F276*INDEX(Параметри!$C$9:$C$12,B276)+G276*INDEX(Параметри!$D$9:$D$12,B276)))</f>
        <v>34</v>
      </c>
      <c r="K276" s="3" t="str">
        <f aca="false">IF(OR(I276="",J276=""),"",I276-J276)</f>
        <v/>
      </c>
      <c r="L276" s="4"/>
    </row>
  </sheetData>
  <autoFilter ref="A1:L2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3.75" hidden="false" customHeight="true" outlineLevel="0" collapsed="false">
      <c r="A1" s="2" t="s">
        <v>78</v>
      </c>
      <c r="B1" s="2" t="s">
        <v>214</v>
      </c>
      <c r="C1" s="2" t="s">
        <v>215</v>
      </c>
      <c r="D1" s="2" t="s">
        <v>216</v>
      </c>
      <c r="E1" s="2" t="s">
        <v>79</v>
      </c>
      <c r="F1" s="2" t="s">
        <v>217</v>
      </c>
      <c r="G1" s="2" t="s">
        <v>218</v>
      </c>
      <c r="H1" s="2" t="s">
        <v>219</v>
      </c>
      <c r="I1" s="2" t="s">
        <v>89</v>
      </c>
    </row>
    <row r="2" customFormat="false" ht="15" hidden="false" customHeight="false" outlineLevel="0" collapsed="false">
      <c r="A2" s="3" t="n">
        <v>75</v>
      </c>
      <c r="B2" s="3" t="s">
        <v>220</v>
      </c>
      <c r="C2" s="3" t="s">
        <v>221</v>
      </c>
      <c r="D2" s="8" t="n">
        <v>2023</v>
      </c>
      <c r="E2" s="3" t="n">
        <f aca="false">Параметри!$B$5-D2+1</f>
        <v>4</v>
      </c>
      <c r="F2" s="3" t="n">
        <f aca="false">INDEX(Параметри!$B$9:$B$12,E2)</f>
        <v>20</v>
      </c>
      <c r="G2" s="3" t="s">
        <v>222</v>
      </c>
      <c r="H2" s="3" t="n">
        <v>13</v>
      </c>
      <c r="I2" s="4"/>
    </row>
    <row r="3" customFormat="false" ht="15" hidden="false" customHeight="false" outlineLevel="0" collapsed="false">
      <c r="A3" s="3" t="n">
        <v>76</v>
      </c>
      <c r="B3" s="3" t="s">
        <v>223</v>
      </c>
      <c r="C3" s="3" t="s">
        <v>221</v>
      </c>
      <c r="D3" s="8" t="n">
        <v>2023</v>
      </c>
      <c r="E3" s="3" t="n">
        <f aca="false">Параметри!$B$5-D3+1</f>
        <v>4</v>
      </c>
      <c r="F3" s="3" t="n">
        <f aca="false">INDEX(Параметри!$B$9:$B$12,E3)</f>
        <v>20</v>
      </c>
      <c r="G3" s="3" t="s">
        <v>222</v>
      </c>
      <c r="H3" s="3" t="n">
        <v>13</v>
      </c>
      <c r="I3" s="4"/>
    </row>
    <row r="4" customFormat="false" ht="15" hidden="false" customHeight="false" outlineLevel="0" collapsed="false">
      <c r="A4" s="3" t="n">
        <v>77</v>
      </c>
      <c r="B4" s="3" t="s">
        <v>224</v>
      </c>
      <c r="C4" s="3" t="s">
        <v>225</v>
      </c>
      <c r="D4" s="8" t="n">
        <v>2023</v>
      </c>
      <c r="E4" s="3" t="n">
        <f aca="false">Параметри!$B$5-D4+1</f>
        <v>4</v>
      </c>
      <c r="F4" s="3" t="n">
        <f aca="false">INDEX(Параметри!$B$9:$B$12,E4)</f>
        <v>20</v>
      </c>
      <c r="G4" s="3" t="s">
        <v>225</v>
      </c>
      <c r="H4" s="3" t="n">
        <v>13</v>
      </c>
      <c r="I4" s="4"/>
    </row>
    <row r="5" customFormat="false" ht="15" hidden="false" customHeight="false" outlineLevel="0" collapsed="false">
      <c r="A5" s="3" t="n">
        <v>78</v>
      </c>
      <c r="B5" s="3" t="s">
        <v>226</v>
      </c>
      <c r="C5" s="3" t="s">
        <v>227</v>
      </c>
      <c r="D5" s="8" t="n">
        <v>2023</v>
      </c>
      <c r="E5" s="3" t="n">
        <f aca="false">Параметри!$B$5-D5+1</f>
        <v>4</v>
      </c>
      <c r="F5" s="3" t="n">
        <f aca="false">INDEX(Параметри!$B$9:$B$12,E5)</f>
        <v>20</v>
      </c>
      <c r="G5" s="3" t="s">
        <v>225</v>
      </c>
      <c r="H5" s="3" t="n">
        <v>13</v>
      </c>
      <c r="I5" s="4"/>
    </row>
    <row r="6" customFormat="false" ht="15" hidden="false" customHeight="false" outlineLevel="0" collapsed="false">
      <c r="A6" s="3" t="n">
        <v>79</v>
      </c>
      <c r="B6" s="3" t="s">
        <v>228</v>
      </c>
      <c r="C6" s="3" t="s">
        <v>229</v>
      </c>
      <c r="D6" s="8" t="n">
        <v>2023</v>
      </c>
      <c r="E6" s="3" t="n">
        <f aca="false">Параметри!$B$5-D6+1</f>
        <v>4</v>
      </c>
      <c r="F6" s="3" t="n">
        <f aca="false">INDEX(Параметри!$B$9:$B$12,E6)</f>
        <v>20</v>
      </c>
      <c r="G6" s="3" t="s">
        <v>229</v>
      </c>
      <c r="H6" s="3" t="n">
        <v>15</v>
      </c>
      <c r="I6" s="4"/>
    </row>
    <row r="7" customFormat="false" ht="15" hidden="false" customHeight="false" outlineLevel="0" collapsed="false">
      <c r="A7" s="3" t="n">
        <v>80</v>
      </c>
      <c r="B7" s="3" t="s">
        <v>230</v>
      </c>
      <c r="C7" s="3" t="s">
        <v>229</v>
      </c>
      <c r="D7" s="8" t="n">
        <v>2023</v>
      </c>
      <c r="E7" s="3" t="n">
        <f aca="false">Параметри!$B$5-D7+1</f>
        <v>4</v>
      </c>
      <c r="F7" s="3" t="n">
        <f aca="false">INDEX(Параметри!$B$9:$B$12,E7)</f>
        <v>20</v>
      </c>
      <c r="G7" s="3" t="s">
        <v>229</v>
      </c>
      <c r="H7" s="3" t="n">
        <v>15</v>
      </c>
      <c r="I7" s="4"/>
    </row>
    <row r="8" customFormat="false" ht="15" hidden="false" customHeight="false" outlineLevel="0" collapsed="false">
      <c r="A8" s="3" t="n">
        <v>81</v>
      </c>
      <c r="B8" s="3" t="s">
        <v>231</v>
      </c>
      <c r="C8" s="3" t="s">
        <v>221</v>
      </c>
      <c r="D8" s="8" t="n">
        <v>2024</v>
      </c>
      <c r="E8" s="3" t="n">
        <f aca="false">Параметри!$B$5-D8+1</f>
        <v>3</v>
      </c>
      <c r="F8" s="3" t="n">
        <f aca="false">INDEX(Параметри!$B$9:$B$12,E8)</f>
        <v>17</v>
      </c>
      <c r="G8" s="3" t="s">
        <v>222</v>
      </c>
      <c r="H8" s="3" t="n">
        <v>12</v>
      </c>
      <c r="I8" s="4"/>
    </row>
    <row r="9" customFormat="false" ht="15" hidden="false" customHeight="false" outlineLevel="0" collapsed="false">
      <c r="A9" s="3" t="n">
        <v>82</v>
      </c>
      <c r="B9" s="3" t="s">
        <v>232</v>
      </c>
      <c r="C9" s="3" t="s">
        <v>221</v>
      </c>
      <c r="D9" s="8" t="n">
        <v>2024</v>
      </c>
      <c r="E9" s="3" t="n">
        <f aca="false">Параметри!$B$5-D9+1</f>
        <v>3</v>
      </c>
      <c r="F9" s="3" t="n">
        <f aca="false">INDEX(Параметри!$B$9:$B$12,E9)</f>
        <v>17</v>
      </c>
      <c r="G9" s="3" t="s">
        <v>222</v>
      </c>
      <c r="H9" s="3" t="n">
        <v>12</v>
      </c>
      <c r="I9" s="4"/>
    </row>
    <row r="10" customFormat="false" ht="15" hidden="false" customHeight="false" outlineLevel="0" collapsed="false">
      <c r="A10" s="3" t="n">
        <v>83</v>
      </c>
      <c r="B10" s="3" t="s">
        <v>233</v>
      </c>
      <c r="C10" s="3" t="s">
        <v>225</v>
      </c>
      <c r="D10" s="8" t="n">
        <v>2024</v>
      </c>
      <c r="E10" s="3" t="n">
        <f aca="false">Параметри!$B$5-D10+1</f>
        <v>3</v>
      </c>
      <c r="F10" s="3" t="n">
        <f aca="false">INDEX(Параметри!$B$9:$B$12,E10)</f>
        <v>17</v>
      </c>
      <c r="G10" s="3" t="s">
        <v>225</v>
      </c>
      <c r="H10" s="3" t="n">
        <v>13</v>
      </c>
      <c r="I10" s="4"/>
    </row>
    <row r="11" customFormat="false" ht="15" hidden="false" customHeight="false" outlineLevel="0" collapsed="false">
      <c r="A11" s="3" t="n">
        <v>84</v>
      </c>
      <c r="B11" s="3" t="s">
        <v>234</v>
      </c>
      <c r="C11" s="3" t="s">
        <v>227</v>
      </c>
      <c r="D11" s="8" t="n">
        <v>2024</v>
      </c>
      <c r="E11" s="3" t="n">
        <f aca="false">Параметри!$B$5-D11+1</f>
        <v>3</v>
      </c>
      <c r="F11" s="3" t="n">
        <f aca="false">INDEX(Параметри!$B$9:$B$12,E11)</f>
        <v>17</v>
      </c>
      <c r="G11" s="3" t="s">
        <v>225</v>
      </c>
      <c r="H11" s="3" t="n">
        <v>13</v>
      </c>
      <c r="I11" s="4"/>
    </row>
    <row r="12" customFormat="false" ht="15" hidden="false" customHeight="false" outlineLevel="0" collapsed="false">
      <c r="A12" s="3" t="n">
        <v>85</v>
      </c>
      <c r="B12" s="3" t="s">
        <v>235</v>
      </c>
      <c r="C12" s="3" t="s">
        <v>229</v>
      </c>
      <c r="D12" s="8" t="n">
        <v>2024</v>
      </c>
      <c r="E12" s="3" t="n">
        <f aca="false">Параметри!$B$5-D12+1</f>
        <v>3</v>
      </c>
      <c r="F12" s="3" t="n">
        <f aca="false">INDEX(Параметри!$B$9:$B$12,E12)</f>
        <v>17</v>
      </c>
      <c r="G12" s="3" t="s">
        <v>229</v>
      </c>
      <c r="H12" s="3" t="n">
        <v>15</v>
      </c>
      <c r="I12" s="4"/>
    </row>
    <row r="13" customFormat="false" ht="15" hidden="false" customHeight="false" outlineLevel="0" collapsed="false">
      <c r="A13" s="3" t="n">
        <v>86</v>
      </c>
      <c r="B13" s="3" t="s">
        <v>236</v>
      </c>
      <c r="C13" s="3" t="s">
        <v>229</v>
      </c>
      <c r="D13" s="8" t="n">
        <v>2024</v>
      </c>
      <c r="E13" s="3" t="n">
        <f aca="false">Параметри!$B$5-D13+1</f>
        <v>3</v>
      </c>
      <c r="F13" s="3" t="n">
        <f aca="false">INDEX(Параметри!$B$9:$B$12,E13)</f>
        <v>17</v>
      </c>
      <c r="G13" s="3" t="s">
        <v>229</v>
      </c>
      <c r="H13" s="3" t="n">
        <v>15</v>
      </c>
      <c r="I13" s="4"/>
    </row>
    <row r="14" customFormat="false" ht="15" hidden="false" customHeight="false" outlineLevel="0" collapsed="false">
      <c r="A14" s="3" t="n">
        <v>87</v>
      </c>
      <c r="B14" s="3" t="s">
        <v>237</v>
      </c>
      <c r="C14" s="3" t="s">
        <v>221</v>
      </c>
      <c r="D14" s="8" t="n">
        <v>2025</v>
      </c>
      <c r="E14" s="3" t="n">
        <f aca="false">Параметри!$B$5-D14+1</f>
        <v>2</v>
      </c>
      <c r="F14" s="3" t="n">
        <f aca="false">INDEX(Параметри!$B$9:$B$12,E14)</f>
        <v>17</v>
      </c>
      <c r="G14" s="3" t="s">
        <v>222</v>
      </c>
      <c r="H14" s="3" t="n">
        <v>13</v>
      </c>
      <c r="I14" s="4" t="s">
        <v>238</v>
      </c>
    </row>
    <row r="15" customFormat="false" ht="15" hidden="false" customHeight="false" outlineLevel="0" collapsed="false">
      <c r="A15" s="3" t="n">
        <v>88</v>
      </c>
      <c r="B15" s="3" t="s">
        <v>239</v>
      </c>
      <c r="C15" s="3" t="s">
        <v>227</v>
      </c>
      <c r="D15" s="8" t="n">
        <v>2025</v>
      </c>
      <c r="E15" s="3" t="n">
        <f aca="false">Параметри!$B$5-D15+1</f>
        <v>2</v>
      </c>
      <c r="F15" s="3" t="n">
        <f aca="false">INDEX(Параметри!$B$9:$B$12,E15)</f>
        <v>17</v>
      </c>
      <c r="G15" s="3" t="s">
        <v>225</v>
      </c>
      <c r="H15" s="3" t="n">
        <v>12</v>
      </c>
      <c r="I15" s="4" t="s">
        <v>240</v>
      </c>
    </row>
    <row r="16" customFormat="false" ht="15" hidden="false" customHeight="false" outlineLevel="0" collapsed="false">
      <c r="A16" s="3" t="n">
        <v>89</v>
      </c>
      <c r="B16" s="3" t="s">
        <v>241</v>
      </c>
      <c r="C16" s="3" t="s">
        <v>227</v>
      </c>
      <c r="D16" s="8" t="n">
        <v>2025</v>
      </c>
      <c r="E16" s="3" t="n">
        <f aca="false">Параметри!$B$5-D16+1</f>
        <v>2</v>
      </c>
      <c r="F16" s="3" t="n">
        <f aca="false">INDEX(Параметри!$B$9:$B$12,E16)</f>
        <v>17</v>
      </c>
      <c r="G16" s="3" t="s">
        <v>225</v>
      </c>
      <c r="H16" s="3" t="n">
        <v>12</v>
      </c>
      <c r="I16" s="4" t="s">
        <v>238</v>
      </c>
    </row>
    <row r="17" customFormat="false" ht="15" hidden="false" customHeight="false" outlineLevel="0" collapsed="false">
      <c r="A17" s="3" t="n">
        <v>90</v>
      </c>
      <c r="B17" s="3" t="s">
        <v>242</v>
      </c>
      <c r="C17" s="3" t="s">
        <v>229</v>
      </c>
      <c r="D17" s="8" t="n">
        <v>2025</v>
      </c>
      <c r="E17" s="3" t="n">
        <f aca="false">Параметри!$B$5-D17+1</f>
        <v>2</v>
      </c>
      <c r="F17" s="3" t="n">
        <f aca="false">INDEX(Параметри!$B$9:$B$12,E17)</f>
        <v>17</v>
      </c>
      <c r="G17" s="3" t="s">
        <v>229</v>
      </c>
      <c r="H17" s="3" t="n">
        <v>15</v>
      </c>
      <c r="I17" s="4" t="s">
        <v>238</v>
      </c>
    </row>
    <row r="18" customFormat="false" ht="15" hidden="false" customHeight="false" outlineLevel="0" collapsed="false">
      <c r="A18" s="3" t="n">
        <v>91</v>
      </c>
      <c r="B18" s="3" t="s">
        <v>243</v>
      </c>
      <c r="C18" s="3" t="s">
        <v>229</v>
      </c>
      <c r="D18" s="8" t="n">
        <v>2025</v>
      </c>
      <c r="E18" s="3" t="n">
        <f aca="false">Параметри!$B$5-D18+1</f>
        <v>2</v>
      </c>
      <c r="F18" s="3" t="n">
        <f aca="false">INDEX(Параметри!$B$9:$B$12,E18)</f>
        <v>17</v>
      </c>
      <c r="G18" s="3" t="s">
        <v>229</v>
      </c>
      <c r="H18" s="3" t="n">
        <v>15</v>
      </c>
      <c r="I18" s="4" t="s">
        <v>238</v>
      </c>
    </row>
    <row r="19" customFormat="false" ht="15" hidden="false" customHeight="false" outlineLevel="0" collapsed="false">
      <c r="A19" s="3" t="n">
        <v>92</v>
      </c>
      <c r="B19" s="3" t="s">
        <v>244</v>
      </c>
      <c r="C19" s="3" t="s">
        <v>245</v>
      </c>
      <c r="D19" s="8" t="n">
        <v>2026</v>
      </c>
      <c r="E19" s="3" t="n">
        <f aca="false">Параметри!$B$5-D19+1</f>
        <v>1</v>
      </c>
      <c r="F19" s="3" t="n">
        <f aca="false">INDEX(Параметри!$B$9:$B$12,E19)</f>
        <v>17</v>
      </c>
      <c r="G19" s="3"/>
      <c r="H19" s="3" t="n">
        <v>11</v>
      </c>
      <c r="I19" s="4"/>
    </row>
    <row r="20" customFormat="false" ht="15" hidden="false" customHeight="false" outlineLevel="0" collapsed="false">
      <c r="A20" s="3" t="n">
        <v>93</v>
      </c>
      <c r="B20" s="3" t="s">
        <v>246</v>
      </c>
      <c r="C20" s="3" t="s">
        <v>245</v>
      </c>
      <c r="D20" s="8" t="n">
        <v>2026</v>
      </c>
      <c r="E20" s="3" t="n">
        <f aca="false">Параметри!$B$5-D20+1</f>
        <v>1</v>
      </c>
      <c r="F20" s="3" t="n">
        <f aca="false">INDEX(Параметри!$B$9:$B$12,E20)</f>
        <v>17</v>
      </c>
      <c r="G20" s="3"/>
      <c r="H20" s="3" t="n">
        <v>11</v>
      </c>
      <c r="I20" s="4"/>
    </row>
    <row r="21" customFormat="false" ht="15" hidden="false" customHeight="false" outlineLevel="0" collapsed="false">
      <c r="A21" s="3" t="n">
        <v>94</v>
      </c>
      <c r="B21" s="3" t="s">
        <v>247</v>
      </c>
      <c r="C21" s="3" t="s">
        <v>227</v>
      </c>
      <c r="D21" s="8" t="n">
        <v>2026</v>
      </c>
      <c r="E21" s="3" t="n">
        <f aca="false">Параметри!$B$5-D21+1</f>
        <v>1</v>
      </c>
      <c r="F21" s="3" t="n">
        <f aca="false">INDEX(Параметри!$B$9:$B$12,E21)</f>
        <v>17</v>
      </c>
      <c r="G21" s="3"/>
      <c r="H21" s="3" t="n">
        <v>12</v>
      </c>
      <c r="I21" s="4"/>
    </row>
    <row r="22" customFormat="false" ht="15" hidden="false" customHeight="false" outlineLevel="0" collapsed="false">
      <c r="A22" s="3" t="n">
        <v>95</v>
      </c>
      <c r="B22" s="3" t="s">
        <v>248</v>
      </c>
      <c r="C22" s="3" t="s">
        <v>227</v>
      </c>
      <c r="D22" s="8" t="n">
        <v>2026</v>
      </c>
      <c r="E22" s="3" t="n">
        <f aca="false">Параметри!$B$5-D22+1</f>
        <v>1</v>
      </c>
      <c r="F22" s="3" t="n">
        <f aca="false">INDEX(Параметри!$B$9:$B$12,E22)</f>
        <v>17</v>
      </c>
      <c r="G22" s="3"/>
      <c r="H22" s="3" t="n">
        <v>12</v>
      </c>
      <c r="I22" s="4"/>
    </row>
    <row r="23" customFormat="false" ht="15" hidden="false" customHeight="false" outlineLevel="0" collapsed="false">
      <c r="A23" s="3" t="n">
        <v>96</v>
      </c>
      <c r="B23" s="3" t="s">
        <v>249</v>
      </c>
      <c r="C23" s="3" t="s">
        <v>250</v>
      </c>
      <c r="D23" s="8" t="n">
        <v>2026</v>
      </c>
      <c r="E23" s="3" t="n">
        <f aca="false">Параметри!$B$5-D23+1</f>
        <v>1</v>
      </c>
      <c r="F23" s="3" t="n">
        <f aca="false">INDEX(Параметри!$B$9:$B$12,E23)</f>
        <v>17</v>
      </c>
      <c r="G23" s="3"/>
      <c r="H23" s="3" t="n">
        <v>14</v>
      </c>
      <c r="I23" s="4"/>
    </row>
    <row r="24" customFormat="false" ht="15" hidden="false" customHeight="false" outlineLevel="0" collapsed="false">
      <c r="A24" s="3" t="n">
        <v>97</v>
      </c>
      <c r="B24" s="3" t="s">
        <v>251</v>
      </c>
      <c r="C24" s="3" t="s">
        <v>229</v>
      </c>
      <c r="D24" s="8" t="n">
        <v>2026</v>
      </c>
      <c r="E24" s="3" t="n">
        <f aca="false">Параметри!$B$5-D24+1</f>
        <v>1</v>
      </c>
      <c r="F24" s="3" t="n">
        <f aca="false">INDEX(Параметри!$B$9:$B$12,E24)</f>
        <v>17</v>
      </c>
      <c r="G24" s="3"/>
      <c r="H24" s="3" t="n">
        <v>15</v>
      </c>
      <c r="I24" s="4"/>
    </row>
    <row r="25" customFormat="false" ht="15" hidden="false" customHeight="false" outlineLevel="0" collapsed="false">
      <c r="A25" s="3" t="n">
        <v>98</v>
      </c>
      <c r="B25" s="3" t="s">
        <v>252</v>
      </c>
      <c r="C25" s="3" t="s">
        <v>229</v>
      </c>
      <c r="D25" s="8" t="n">
        <v>2026</v>
      </c>
      <c r="E25" s="3" t="n">
        <f aca="false">Параметри!$B$5-D25+1</f>
        <v>1</v>
      </c>
      <c r="F25" s="3" t="n">
        <f aca="false">INDEX(Параметри!$B$9:$B$12,E25)</f>
        <v>17</v>
      </c>
      <c r="G25" s="3"/>
      <c r="H25" s="3" t="n">
        <v>15</v>
      </c>
      <c r="I25" s="4"/>
    </row>
    <row r="26" customFormat="false" ht="23.85" hidden="false" customHeight="false" outlineLevel="0" collapsed="false">
      <c r="A26" s="3" t="n">
        <v>99</v>
      </c>
      <c r="B26" s="3" t="s">
        <v>253</v>
      </c>
      <c r="C26" s="3" t="s">
        <v>254</v>
      </c>
      <c r="D26" s="8" t="n">
        <v>2026</v>
      </c>
      <c r="E26" s="3" t="n">
        <f aca="false">Параметри!$B$5-D26+1</f>
        <v>1</v>
      </c>
      <c r="F26" s="3" t="n">
        <f aca="false">INDEX(Параметри!$B$9:$B$12,E26)</f>
        <v>17</v>
      </c>
      <c r="G26" s="3"/>
      <c r="H26" s="3" t="n">
        <v>12</v>
      </c>
      <c r="I26" s="4" t="s">
        <v>255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33.75" hidden="false" customHeight="true" outlineLevel="0" collapsed="false">
      <c r="A1" s="2" t="s">
        <v>81</v>
      </c>
      <c r="B1" s="2" t="s">
        <v>256</v>
      </c>
      <c r="C1" s="2" t="s">
        <v>257</v>
      </c>
      <c r="D1" s="2" t="s">
        <v>83</v>
      </c>
      <c r="E1" s="2" t="s">
        <v>84</v>
      </c>
      <c r="F1" s="2" t="s">
        <v>258</v>
      </c>
      <c r="G1" s="2" t="s">
        <v>259</v>
      </c>
      <c r="H1" s="2" t="s">
        <v>260</v>
      </c>
      <c r="I1" s="2" t="s">
        <v>89</v>
      </c>
    </row>
    <row r="2" customFormat="false" ht="15" hidden="false" customHeight="false" outlineLevel="0" collapsed="false">
      <c r="A2" s="6" t="s">
        <v>130</v>
      </c>
      <c r="B2" s="3" t="s">
        <v>261</v>
      </c>
      <c r="C2" s="3" t="s">
        <v>262</v>
      </c>
      <c r="D2" s="3" t="n">
        <v>16</v>
      </c>
      <c r="E2" s="3" t="n">
        <v>17</v>
      </c>
      <c r="F2" s="3" t="n">
        <f aca="false">MAX(D2,E2)</f>
        <v>17</v>
      </c>
      <c r="G2" s="9" t="n">
        <f aca="false">F2/Параметри!$B$3</f>
        <v>0.85</v>
      </c>
      <c r="H2" s="3" t="n">
        <v>5</v>
      </c>
      <c r="I2" s="4"/>
    </row>
    <row r="3" customFormat="false" ht="15" hidden="false" customHeight="false" outlineLevel="0" collapsed="false">
      <c r="A3" s="6" t="s">
        <v>160</v>
      </c>
      <c r="B3" s="3" t="s">
        <v>263</v>
      </c>
      <c r="C3" s="3" t="s">
        <v>264</v>
      </c>
      <c r="D3" s="3" t="n">
        <v>16</v>
      </c>
      <c r="E3" s="3" t="n">
        <v>17</v>
      </c>
      <c r="F3" s="3" t="n">
        <f aca="false">MAX(D3,E3)</f>
        <v>17</v>
      </c>
      <c r="G3" s="9" t="n">
        <f aca="false">F3/Параметри!$B$3</f>
        <v>0.85</v>
      </c>
      <c r="H3" s="3" t="n">
        <v>5</v>
      </c>
      <c r="I3" s="4"/>
    </row>
    <row r="4" customFormat="false" ht="15" hidden="false" customHeight="false" outlineLevel="0" collapsed="false">
      <c r="A4" s="6" t="s">
        <v>111</v>
      </c>
      <c r="B4" s="3" t="s">
        <v>265</v>
      </c>
      <c r="C4" s="3" t="s">
        <v>266</v>
      </c>
      <c r="D4" s="3" t="n">
        <v>16</v>
      </c>
      <c r="E4" s="3" t="n">
        <v>14</v>
      </c>
      <c r="F4" s="3" t="n">
        <f aca="false">MAX(D4,E4)</f>
        <v>16</v>
      </c>
      <c r="G4" s="9" t="n">
        <f aca="false">F4/Параметри!$B$3</f>
        <v>0.8</v>
      </c>
      <c r="H4" s="3" t="n">
        <v>5</v>
      </c>
      <c r="I4" s="4"/>
    </row>
    <row r="5" customFormat="false" ht="15" hidden="false" customHeight="false" outlineLevel="0" collapsed="false">
      <c r="A5" s="6" t="s">
        <v>108</v>
      </c>
      <c r="B5" s="3" t="s">
        <v>267</v>
      </c>
      <c r="C5" s="3" t="s">
        <v>268</v>
      </c>
      <c r="D5" s="3" t="n">
        <v>15</v>
      </c>
      <c r="E5" s="3" t="n">
        <v>16</v>
      </c>
      <c r="F5" s="3" t="n">
        <f aca="false">MAX(D5,E5)</f>
        <v>16</v>
      </c>
      <c r="G5" s="9" t="n">
        <f aca="false">F5/Параметри!$B$3</f>
        <v>0.8</v>
      </c>
      <c r="H5" s="3" t="n">
        <v>5</v>
      </c>
      <c r="I5" s="4"/>
    </row>
    <row r="6" customFormat="false" ht="15" hidden="false" customHeight="false" outlineLevel="0" collapsed="false">
      <c r="A6" s="6" t="s">
        <v>165</v>
      </c>
      <c r="B6" s="3" t="s">
        <v>269</v>
      </c>
      <c r="C6" s="3" t="s">
        <v>270</v>
      </c>
      <c r="D6" s="3" t="n">
        <v>13</v>
      </c>
      <c r="E6" s="3" t="n">
        <v>16</v>
      </c>
      <c r="F6" s="3" t="n">
        <f aca="false">MAX(D6,E6)</f>
        <v>16</v>
      </c>
      <c r="G6" s="9" t="n">
        <f aca="false">F6/Параметри!$B$3</f>
        <v>0.8</v>
      </c>
      <c r="H6" s="3" t="n">
        <v>5</v>
      </c>
      <c r="I6" s="4"/>
    </row>
    <row r="7" customFormat="false" ht="15" hidden="false" customHeight="false" outlineLevel="0" collapsed="false">
      <c r="A7" s="6" t="s">
        <v>132</v>
      </c>
      <c r="B7" s="3" t="s">
        <v>271</v>
      </c>
      <c r="C7" s="3"/>
      <c r="D7" s="3" t="n">
        <v>16</v>
      </c>
      <c r="E7" s="3" t="n">
        <v>13</v>
      </c>
      <c r="F7" s="3" t="n">
        <f aca="false">MAX(D7,E7)</f>
        <v>16</v>
      </c>
      <c r="G7" s="9" t="n">
        <f aca="false">F7/Параметри!$B$3</f>
        <v>0.8</v>
      </c>
      <c r="H7" s="3" t="n">
        <v>5</v>
      </c>
      <c r="I7" s="4"/>
    </row>
    <row r="8" customFormat="false" ht="15" hidden="false" customHeight="false" outlineLevel="0" collapsed="false">
      <c r="A8" s="6" t="s">
        <v>106</v>
      </c>
      <c r="B8" s="3" t="s">
        <v>272</v>
      </c>
      <c r="C8" s="3" t="s">
        <v>273</v>
      </c>
      <c r="D8" s="3" t="n">
        <v>16</v>
      </c>
      <c r="E8" s="3" t="n">
        <v>15</v>
      </c>
      <c r="F8" s="3" t="n">
        <f aca="false">MAX(D8,E8)</f>
        <v>16</v>
      </c>
      <c r="G8" s="9" t="n">
        <f aca="false">F8/Параметри!$B$3</f>
        <v>0.8</v>
      </c>
      <c r="H8" s="3" t="n">
        <v>5</v>
      </c>
      <c r="I8" s="4"/>
    </row>
    <row r="9" customFormat="false" ht="15" hidden="false" customHeight="false" outlineLevel="0" collapsed="false">
      <c r="A9" s="6" t="s">
        <v>152</v>
      </c>
      <c r="B9" s="3" t="s">
        <v>274</v>
      </c>
      <c r="C9" s="3" t="s">
        <v>275</v>
      </c>
      <c r="D9" s="3" t="n">
        <v>15</v>
      </c>
      <c r="E9" s="3" t="n">
        <v>16</v>
      </c>
      <c r="F9" s="3" t="n">
        <f aca="false">MAX(D9,E9)</f>
        <v>16</v>
      </c>
      <c r="G9" s="9" t="n">
        <f aca="false">F9/Параметри!$B$3</f>
        <v>0.8</v>
      </c>
      <c r="H9" s="3" t="n">
        <v>5</v>
      </c>
      <c r="I9" s="4" t="s">
        <v>276</v>
      </c>
    </row>
    <row r="10" customFormat="false" ht="15" hidden="false" customHeight="false" outlineLevel="0" collapsed="false">
      <c r="A10" s="6" t="s">
        <v>202</v>
      </c>
      <c r="B10" s="3" t="s">
        <v>277</v>
      </c>
      <c r="C10" s="3" t="s">
        <v>278</v>
      </c>
      <c r="D10" s="3" t="n">
        <v>15</v>
      </c>
      <c r="E10" s="3" t="n">
        <v>14</v>
      </c>
      <c r="F10" s="3" t="n">
        <f aca="false">MAX(D10,E10)</f>
        <v>15</v>
      </c>
      <c r="G10" s="9" t="n">
        <f aca="false">F10/Параметри!$B$3</f>
        <v>0.75</v>
      </c>
      <c r="H10" s="3" t="n">
        <v>5</v>
      </c>
      <c r="I10" s="4"/>
    </row>
    <row r="11" customFormat="false" ht="15" hidden="false" customHeight="false" outlineLevel="0" collapsed="false">
      <c r="A11" s="6" t="s">
        <v>135</v>
      </c>
      <c r="B11" s="3" t="s">
        <v>274</v>
      </c>
      <c r="C11" s="3"/>
      <c r="D11" s="3" t="n">
        <v>11</v>
      </c>
      <c r="E11" s="3" t="n">
        <v>13</v>
      </c>
      <c r="F11" s="3" t="n">
        <f aca="false">MAX(D11,E11)</f>
        <v>13</v>
      </c>
      <c r="G11" s="9" t="n">
        <f aca="false">F11/Параметри!$B$3</f>
        <v>0.65</v>
      </c>
      <c r="H11" s="3" t="n">
        <v>5</v>
      </c>
      <c r="I11" s="4" t="s">
        <v>276</v>
      </c>
    </row>
    <row r="12" customFormat="false" ht="15" hidden="false" customHeight="false" outlineLevel="0" collapsed="false">
      <c r="A12" s="6" t="s">
        <v>99</v>
      </c>
      <c r="B12" s="3" t="s">
        <v>279</v>
      </c>
      <c r="C12" s="3" t="s">
        <v>280</v>
      </c>
      <c r="D12" s="3" t="n">
        <v>13</v>
      </c>
      <c r="E12" s="3" t="n">
        <v>13</v>
      </c>
      <c r="F12" s="3" t="n">
        <f aca="false">MAX(D12,E12)</f>
        <v>13</v>
      </c>
      <c r="G12" s="9" t="n">
        <f aca="false">F12/Параметри!$B$3</f>
        <v>0.65</v>
      </c>
      <c r="H12" s="3" t="n">
        <v>4</v>
      </c>
      <c r="I12" s="4"/>
    </row>
    <row r="13" customFormat="false" ht="15" hidden="false" customHeight="false" outlineLevel="0" collapsed="false">
      <c r="A13" s="6" t="s">
        <v>143</v>
      </c>
      <c r="B13" s="3" t="s">
        <v>281</v>
      </c>
      <c r="C13" s="3" t="s">
        <v>282</v>
      </c>
      <c r="D13" s="3" t="n">
        <v>13</v>
      </c>
      <c r="E13" s="3" t="n">
        <v>12</v>
      </c>
      <c r="F13" s="3" t="n">
        <f aca="false">MAX(D13,E13)</f>
        <v>13</v>
      </c>
      <c r="G13" s="9" t="n">
        <f aca="false">F13/Параметри!$B$3</f>
        <v>0.65</v>
      </c>
      <c r="H13" s="3" t="n">
        <v>4</v>
      </c>
      <c r="I13" s="4"/>
    </row>
    <row r="14" customFormat="false" ht="15" hidden="false" customHeight="false" outlineLevel="0" collapsed="false">
      <c r="A14" s="6" t="s">
        <v>197</v>
      </c>
      <c r="B14" s="3" t="s">
        <v>283</v>
      </c>
      <c r="C14" s="3" t="s">
        <v>284</v>
      </c>
      <c r="D14" s="3" t="n">
        <v>12</v>
      </c>
      <c r="E14" s="3" t="n">
        <v>13</v>
      </c>
      <c r="F14" s="3" t="n">
        <f aca="false">MAX(D14,E14)</f>
        <v>13</v>
      </c>
      <c r="G14" s="9" t="n">
        <f aca="false">F14/Параметри!$B$3</f>
        <v>0.65</v>
      </c>
      <c r="H14" s="3" t="n">
        <v>4</v>
      </c>
      <c r="I14" s="4"/>
    </row>
    <row r="15" customFormat="false" ht="15" hidden="false" customHeight="false" outlineLevel="0" collapsed="false">
      <c r="A15" s="6" t="s">
        <v>198</v>
      </c>
      <c r="B15" s="3" t="s">
        <v>285</v>
      </c>
      <c r="C15" s="3" t="s">
        <v>286</v>
      </c>
      <c r="D15" s="3" t="n">
        <v>12</v>
      </c>
      <c r="E15" s="3" t="n">
        <v>13</v>
      </c>
      <c r="F15" s="3" t="n">
        <f aca="false">MAX(D15,E15)</f>
        <v>13</v>
      </c>
      <c r="G15" s="9" t="n">
        <f aca="false">F15/Параметри!$B$3</f>
        <v>0.65</v>
      </c>
      <c r="H15" s="3" t="n">
        <v>4</v>
      </c>
      <c r="I15" s="4"/>
    </row>
    <row r="16" customFormat="false" ht="15" hidden="false" customHeight="false" outlineLevel="0" collapsed="false">
      <c r="A16" s="6" t="s">
        <v>119</v>
      </c>
      <c r="B16" s="3" t="s">
        <v>287</v>
      </c>
      <c r="C16" s="3" t="s">
        <v>288</v>
      </c>
      <c r="D16" s="3" t="n">
        <v>13</v>
      </c>
      <c r="E16" s="3" t="n">
        <v>12</v>
      </c>
      <c r="F16" s="3" t="n">
        <f aca="false">MAX(D16,E16)</f>
        <v>13</v>
      </c>
      <c r="G16" s="9" t="n">
        <f aca="false">F16/Параметри!$B$3</f>
        <v>0.65</v>
      </c>
      <c r="H16" s="3" t="n">
        <v>4</v>
      </c>
      <c r="I16" s="4"/>
    </row>
    <row r="17" customFormat="false" ht="15" hidden="false" customHeight="false" outlineLevel="0" collapsed="false">
      <c r="A17" s="6" t="s">
        <v>107</v>
      </c>
      <c r="B17" s="3" t="s">
        <v>289</v>
      </c>
      <c r="C17" s="3" t="s">
        <v>290</v>
      </c>
      <c r="D17" s="3" t="n">
        <v>12</v>
      </c>
      <c r="E17" s="3" t="n">
        <v>11</v>
      </c>
      <c r="F17" s="3" t="n">
        <f aca="false">MAX(D17,E17)</f>
        <v>12</v>
      </c>
      <c r="G17" s="9" t="n">
        <f aca="false">F17/Параметри!$B$3</f>
        <v>0.6</v>
      </c>
      <c r="H17" s="3" t="n">
        <v>3</v>
      </c>
      <c r="I17" s="4"/>
    </row>
    <row r="18" customFormat="false" ht="15" hidden="false" customHeight="false" outlineLevel="0" collapsed="false">
      <c r="A18" s="6" t="s">
        <v>101</v>
      </c>
      <c r="B18" s="3" t="s">
        <v>291</v>
      </c>
      <c r="C18" s="3"/>
      <c r="D18" s="3" t="n">
        <v>9</v>
      </c>
      <c r="E18" s="3" t="n">
        <v>12</v>
      </c>
      <c r="F18" s="3" t="n">
        <f aca="false">MAX(D18,E18)</f>
        <v>12</v>
      </c>
      <c r="G18" s="9" t="n">
        <f aca="false">F18/Параметри!$B$3</f>
        <v>0.6</v>
      </c>
      <c r="H18" s="3" t="n">
        <v>4</v>
      </c>
      <c r="I18" s="4"/>
    </row>
    <row r="19" customFormat="false" ht="15" hidden="false" customHeight="false" outlineLevel="0" collapsed="false">
      <c r="A19" s="6" t="s">
        <v>147</v>
      </c>
      <c r="B19" s="3" t="s">
        <v>272</v>
      </c>
      <c r="C19" s="3"/>
      <c r="D19" s="3" t="n">
        <v>12</v>
      </c>
      <c r="E19" s="3" t="n">
        <v>10</v>
      </c>
      <c r="F19" s="3" t="n">
        <f aca="false">MAX(D19,E19)</f>
        <v>12</v>
      </c>
      <c r="G19" s="9" t="n">
        <f aca="false">F19/Параметри!$B$3</f>
        <v>0.6</v>
      </c>
      <c r="H19" s="3" t="n">
        <v>3</v>
      </c>
      <c r="I19" s="4"/>
    </row>
    <row r="20" customFormat="false" ht="15" hidden="false" customHeight="false" outlineLevel="0" collapsed="false">
      <c r="A20" s="6" t="s">
        <v>123</v>
      </c>
      <c r="B20" s="3" t="s">
        <v>292</v>
      </c>
      <c r="C20" s="3" t="s">
        <v>293</v>
      </c>
      <c r="D20" s="3" t="n">
        <v>11</v>
      </c>
      <c r="E20" s="3" t="n">
        <v>12</v>
      </c>
      <c r="F20" s="3" t="n">
        <f aca="false">MAX(D20,E20)</f>
        <v>12</v>
      </c>
      <c r="G20" s="9" t="n">
        <f aca="false">F20/Параметри!$B$3</f>
        <v>0.6</v>
      </c>
      <c r="H20" s="3" t="n">
        <v>4</v>
      </c>
      <c r="I20" s="4" t="s">
        <v>294</v>
      </c>
    </row>
    <row r="21" customFormat="false" ht="15" hidden="false" customHeight="false" outlineLevel="0" collapsed="false">
      <c r="A21" s="6" t="s">
        <v>91</v>
      </c>
      <c r="B21" s="3" t="s">
        <v>295</v>
      </c>
      <c r="C21" s="3" t="s">
        <v>296</v>
      </c>
      <c r="D21" s="3" t="n">
        <v>11</v>
      </c>
      <c r="E21" s="3" t="n">
        <v>11</v>
      </c>
      <c r="F21" s="3" t="n">
        <f aca="false">MAX(D21,E21)</f>
        <v>11</v>
      </c>
      <c r="G21" s="9" t="n">
        <f aca="false">F21/Параметри!$B$3</f>
        <v>0.55</v>
      </c>
      <c r="H21" s="3" t="n">
        <v>3</v>
      </c>
      <c r="I21" s="4"/>
    </row>
    <row r="22" customFormat="false" ht="15" hidden="false" customHeight="false" outlineLevel="0" collapsed="false">
      <c r="A22" s="6" t="s">
        <v>93</v>
      </c>
      <c r="B22" s="3" t="s">
        <v>297</v>
      </c>
      <c r="C22" s="3"/>
      <c r="D22" s="3" t="n">
        <v>10</v>
      </c>
      <c r="E22" s="3" t="n">
        <v>10</v>
      </c>
      <c r="F22" s="3" t="n">
        <f aca="false">MAX(D22,E22)</f>
        <v>10</v>
      </c>
      <c r="G22" s="9" t="n">
        <f aca="false">F22/Параметри!$B$3</f>
        <v>0.5</v>
      </c>
      <c r="H22" s="3" t="n">
        <v>5</v>
      </c>
      <c r="I22" s="4"/>
    </row>
    <row r="23" customFormat="false" ht="15" hidden="false" customHeight="false" outlineLevel="0" collapsed="false">
      <c r="A23" s="6" t="s">
        <v>168</v>
      </c>
      <c r="B23" s="3" t="s">
        <v>298</v>
      </c>
      <c r="C23" s="3" t="s">
        <v>299</v>
      </c>
      <c r="D23" s="3" t="n">
        <v>10</v>
      </c>
      <c r="E23" s="3" t="n">
        <v>10</v>
      </c>
      <c r="F23" s="3" t="n">
        <f aca="false">MAX(D23,E23)</f>
        <v>10</v>
      </c>
      <c r="G23" s="9" t="n">
        <f aca="false">F23/Параметри!$B$3</f>
        <v>0.5</v>
      </c>
      <c r="H23" s="3" t="n">
        <v>4</v>
      </c>
      <c r="I23" s="4" t="s">
        <v>300</v>
      </c>
    </row>
    <row r="24" customFormat="false" ht="15" hidden="false" customHeight="false" outlineLevel="0" collapsed="false">
      <c r="A24" s="6" t="s">
        <v>150</v>
      </c>
      <c r="B24" s="3" t="s">
        <v>301</v>
      </c>
      <c r="C24" s="3" t="s">
        <v>302</v>
      </c>
      <c r="D24" s="3" t="n">
        <v>10</v>
      </c>
      <c r="E24" s="3" t="n">
        <v>10</v>
      </c>
      <c r="F24" s="3" t="n">
        <f aca="false">MAX(D24,E24)</f>
        <v>10</v>
      </c>
      <c r="G24" s="9" t="n">
        <f aca="false">F24/Параметри!$B$3</f>
        <v>0.5</v>
      </c>
      <c r="H24" s="3" t="n">
        <v>3</v>
      </c>
      <c r="I24" s="4"/>
    </row>
    <row r="25" customFormat="false" ht="15" hidden="false" customHeight="false" outlineLevel="0" collapsed="false">
      <c r="A25" s="6" t="s">
        <v>184</v>
      </c>
      <c r="B25" s="3" t="s">
        <v>298</v>
      </c>
      <c r="C25" s="3"/>
      <c r="D25" s="3" t="n">
        <v>9</v>
      </c>
      <c r="E25" s="3" t="n">
        <v>7</v>
      </c>
      <c r="F25" s="3" t="n">
        <f aca="false">MAX(D25,E25)</f>
        <v>9</v>
      </c>
      <c r="G25" s="9" t="n">
        <f aca="false">F25/Параметри!$B$3</f>
        <v>0.45</v>
      </c>
      <c r="H25" s="3" t="n">
        <v>3</v>
      </c>
      <c r="I25" s="4" t="s">
        <v>300</v>
      </c>
    </row>
    <row r="26" customFormat="false" ht="15" hidden="false" customHeight="false" outlineLevel="0" collapsed="false">
      <c r="A26" s="6" t="s">
        <v>118</v>
      </c>
      <c r="B26" s="3" t="s">
        <v>303</v>
      </c>
      <c r="C26" s="3" t="s">
        <v>304</v>
      </c>
      <c r="D26" s="3" t="n">
        <v>8</v>
      </c>
      <c r="E26" s="3" t="n">
        <v>8</v>
      </c>
      <c r="F26" s="3" t="n">
        <f aca="false">MAX(D26,E26)</f>
        <v>8</v>
      </c>
      <c r="G26" s="9" t="n">
        <f aca="false">F26/Параметри!$B$3</f>
        <v>0.4</v>
      </c>
      <c r="H26" s="3" t="n">
        <v>4</v>
      </c>
      <c r="I26" s="4"/>
    </row>
    <row r="27" customFormat="false" ht="15" hidden="false" customHeight="false" outlineLevel="0" collapsed="false">
      <c r="A27" s="6" t="s">
        <v>192</v>
      </c>
      <c r="B27" s="3" t="s">
        <v>305</v>
      </c>
      <c r="C27" s="3" t="s">
        <v>306</v>
      </c>
      <c r="D27" s="3" t="n">
        <v>7</v>
      </c>
      <c r="E27" s="3" t="n">
        <v>8</v>
      </c>
      <c r="F27" s="3" t="n">
        <f aca="false">MAX(D27,E27)</f>
        <v>8</v>
      </c>
      <c r="G27" s="9" t="n">
        <f aca="false">F27/Параметри!$B$3</f>
        <v>0.4</v>
      </c>
      <c r="H27" s="3" t="n">
        <v>4</v>
      </c>
      <c r="I27" s="4"/>
    </row>
    <row r="28" customFormat="false" ht="15" hidden="false" customHeight="false" outlineLevel="0" collapsed="false">
      <c r="A28" s="6" t="s">
        <v>110</v>
      </c>
      <c r="B28" s="3" t="s">
        <v>307</v>
      </c>
      <c r="C28" s="3"/>
      <c r="D28" s="3" t="n">
        <v>7</v>
      </c>
      <c r="E28" s="3" t="n">
        <v>8</v>
      </c>
      <c r="F28" s="3" t="n">
        <f aca="false">MAX(D28,E28)</f>
        <v>8</v>
      </c>
      <c r="G28" s="9" t="n">
        <f aca="false">F28/Параметри!$B$3</f>
        <v>0.4</v>
      </c>
      <c r="H28" s="3" t="n">
        <v>4</v>
      </c>
      <c r="I28" s="4" t="s">
        <v>300</v>
      </c>
    </row>
    <row r="29" customFormat="false" ht="15" hidden="false" customHeight="false" outlineLevel="0" collapsed="false">
      <c r="A29" s="6" t="s">
        <v>134</v>
      </c>
      <c r="B29" s="3" t="s">
        <v>292</v>
      </c>
      <c r="C29" s="3"/>
      <c r="D29" s="3" t="n">
        <v>5</v>
      </c>
      <c r="E29" s="3" t="n">
        <v>7</v>
      </c>
      <c r="F29" s="3" t="n">
        <f aca="false">MAX(D29,E29)</f>
        <v>7</v>
      </c>
      <c r="G29" s="9" t="n">
        <f aca="false">F29/Параметри!$B$3</f>
        <v>0.35</v>
      </c>
      <c r="H29" s="3" t="n">
        <v>5</v>
      </c>
      <c r="I29" s="4" t="s">
        <v>294</v>
      </c>
    </row>
    <row r="30" customFormat="false" ht="15" hidden="false" customHeight="false" outlineLevel="0" collapsed="false">
      <c r="A30" s="6" t="s">
        <v>114</v>
      </c>
      <c r="B30" s="3" t="s">
        <v>308</v>
      </c>
      <c r="C30" s="3"/>
      <c r="D30" s="3" t="n">
        <v>6</v>
      </c>
      <c r="E30" s="3" t="n">
        <v>7</v>
      </c>
      <c r="F30" s="3" t="n">
        <f aca="false">MAX(D30,E30)</f>
        <v>7</v>
      </c>
      <c r="G30" s="9" t="n">
        <f aca="false">F30/Параметри!$B$3</f>
        <v>0.35</v>
      </c>
      <c r="H30" s="3" t="n">
        <v>4</v>
      </c>
      <c r="I30" s="4"/>
    </row>
    <row r="31" customFormat="false" ht="15" hidden="false" customHeight="false" outlineLevel="0" collapsed="false">
      <c r="A31" s="6" t="s">
        <v>121</v>
      </c>
      <c r="B31" s="3" t="s">
        <v>309</v>
      </c>
      <c r="C31" s="3"/>
      <c r="D31" s="3" t="n">
        <v>7</v>
      </c>
      <c r="E31" s="3" t="n">
        <v>7</v>
      </c>
      <c r="F31" s="3" t="n">
        <f aca="false">MAX(D31,E31)</f>
        <v>7</v>
      </c>
      <c r="G31" s="9" t="n">
        <f aca="false">F31/Параметри!$B$3</f>
        <v>0.35</v>
      </c>
      <c r="H31" s="3" t="n">
        <v>4</v>
      </c>
      <c r="I31" s="4"/>
    </row>
    <row r="32" customFormat="false" ht="15" hidden="false" customHeight="false" outlineLevel="0" collapsed="false">
      <c r="A32" s="6" t="s">
        <v>128</v>
      </c>
      <c r="B32" s="3" t="s">
        <v>272</v>
      </c>
      <c r="C32" s="3"/>
      <c r="D32" s="3" t="n">
        <v>5</v>
      </c>
      <c r="E32" s="3" t="n">
        <v>7</v>
      </c>
      <c r="F32" s="3" t="n">
        <f aca="false">MAX(D32,E32)</f>
        <v>7</v>
      </c>
      <c r="G32" s="9" t="n">
        <f aca="false">F32/Параметри!$B$3</f>
        <v>0.35</v>
      </c>
      <c r="H32" s="3" t="n">
        <v>3</v>
      </c>
      <c r="I32" s="4"/>
    </row>
    <row r="33" customFormat="false" ht="15" hidden="false" customHeight="false" outlineLevel="0" collapsed="false">
      <c r="A33" s="6" t="s">
        <v>187</v>
      </c>
      <c r="B33" s="3" t="s">
        <v>310</v>
      </c>
      <c r="C33" s="3"/>
      <c r="D33" s="3" t="n">
        <v>4</v>
      </c>
      <c r="E33" s="3" t="n">
        <v>6</v>
      </c>
      <c r="F33" s="3" t="n">
        <f aca="false">MAX(D33,E33)</f>
        <v>6</v>
      </c>
      <c r="G33" s="9" t="n">
        <f aca="false">F33/Параметри!$B$3</f>
        <v>0.3</v>
      </c>
      <c r="H33" s="3" t="n">
        <v>3</v>
      </c>
      <c r="I33" s="4" t="s">
        <v>300</v>
      </c>
    </row>
    <row r="34" customFormat="false" ht="15" hidden="false" customHeight="false" outlineLevel="0" collapsed="false">
      <c r="A34" s="6" t="s">
        <v>116</v>
      </c>
      <c r="B34" s="3" t="s">
        <v>311</v>
      </c>
      <c r="C34" s="3"/>
      <c r="D34" s="3" t="n">
        <v>6</v>
      </c>
      <c r="E34" s="3" t="n">
        <v>6</v>
      </c>
      <c r="F34" s="3" t="n">
        <f aca="false">MAX(D34,E34)</f>
        <v>6</v>
      </c>
      <c r="G34" s="9" t="n">
        <f aca="false">F34/Параметри!$B$3</f>
        <v>0.3</v>
      </c>
      <c r="H34" s="3" t="n">
        <v>4</v>
      </c>
      <c r="I34" s="4"/>
    </row>
    <row r="35" customFormat="false" ht="15" hidden="false" customHeight="false" outlineLevel="0" collapsed="false">
      <c r="A35" s="6" t="s">
        <v>142</v>
      </c>
      <c r="B35" s="3" t="s">
        <v>312</v>
      </c>
      <c r="C35" s="3"/>
      <c r="D35" s="3" t="n">
        <v>4</v>
      </c>
      <c r="E35" s="3" t="n">
        <v>6</v>
      </c>
      <c r="F35" s="3" t="n">
        <f aca="false">MAX(D35,E35)</f>
        <v>6</v>
      </c>
      <c r="G35" s="9" t="n">
        <f aca="false">F35/Параметри!$B$3</f>
        <v>0.3</v>
      </c>
      <c r="H35" s="3" t="n">
        <v>3</v>
      </c>
      <c r="I35" s="4" t="s">
        <v>300</v>
      </c>
    </row>
    <row r="36" customFormat="false" ht="15" hidden="false" customHeight="false" outlineLevel="0" collapsed="false">
      <c r="A36" s="6" t="s">
        <v>125</v>
      </c>
      <c r="B36" s="3" t="s">
        <v>292</v>
      </c>
      <c r="C36" s="3"/>
      <c r="D36" s="3" t="n">
        <v>6</v>
      </c>
      <c r="E36" s="3" t="n">
        <v>4</v>
      </c>
      <c r="F36" s="3" t="n">
        <f aca="false">MAX(D36,E36)</f>
        <v>6</v>
      </c>
      <c r="G36" s="9" t="n">
        <f aca="false">F36/Параметри!$B$3</f>
        <v>0.3</v>
      </c>
      <c r="H36" s="3" t="n">
        <v>4</v>
      </c>
      <c r="I36" s="4" t="s">
        <v>294</v>
      </c>
    </row>
    <row r="37" customFormat="false" ht="15" hidden="false" customHeight="false" outlineLevel="0" collapsed="false">
      <c r="A37" s="6" t="s">
        <v>104</v>
      </c>
      <c r="B37" s="3" t="s">
        <v>292</v>
      </c>
      <c r="C37" s="3"/>
      <c r="D37" s="3" t="n">
        <v>6</v>
      </c>
      <c r="E37" s="3" t="n">
        <v>6</v>
      </c>
      <c r="F37" s="3" t="n">
        <f aca="false">MAX(D37,E37)</f>
        <v>6</v>
      </c>
      <c r="G37" s="9" t="n">
        <f aca="false">F37/Параметри!$B$3</f>
        <v>0.3</v>
      </c>
      <c r="H37" s="3" t="n">
        <v>4</v>
      </c>
      <c r="I37" s="4" t="s">
        <v>294</v>
      </c>
    </row>
    <row r="38" customFormat="false" ht="15" hidden="false" customHeight="false" outlineLevel="0" collapsed="false">
      <c r="A38" s="6" t="s">
        <v>140</v>
      </c>
      <c r="B38" s="3" t="s">
        <v>313</v>
      </c>
      <c r="C38" s="3" t="s">
        <v>314</v>
      </c>
      <c r="D38" s="3" t="n">
        <v>6</v>
      </c>
      <c r="E38" s="3" t="n">
        <v>6</v>
      </c>
      <c r="F38" s="3" t="n">
        <f aca="false">MAX(D38,E38)</f>
        <v>6</v>
      </c>
      <c r="G38" s="9" t="n">
        <f aca="false">F38/Параметри!$B$3</f>
        <v>0.3</v>
      </c>
      <c r="H38" s="3" t="n">
        <v>5</v>
      </c>
      <c r="I38" s="4"/>
    </row>
    <row r="39" customFormat="false" ht="15" hidden="false" customHeight="false" outlineLevel="0" collapsed="false">
      <c r="A39" s="6" t="s">
        <v>209</v>
      </c>
      <c r="B39" s="3" t="s">
        <v>315</v>
      </c>
      <c r="C39" s="3"/>
      <c r="D39" s="3" t="n">
        <v>5</v>
      </c>
      <c r="E39" s="3" t="n">
        <v>6</v>
      </c>
      <c r="F39" s="3" t="n">
        <f aca="false">MAX(D39,E39)</f>
        <v>6</v>
      </c>
      <c r="G39" s="9" t="n">
        <f aca="false">F39/Параметри!$B$3</f>
        <v>0.3</v>
      </c>
      <c r="H39" s="3" t="n">
        <v>3</v>
      </c>
      <c r="I39" s="4"/>
    </row>
    <row r="40" customFormat="false" ht="15" hidden="false" customHeight="false" outlineLevel="0" collapsed="false">
      <c r="A40" s="6" t="s">
        <v>120</v>
      </c>
      <c r="B40" s="3" t="s">
        <v>307</v>
      </c>
      <c r="C40" s="3" t="s">
        <v>316</v>
      </c>
      <c r="D40" s="3" t="n">
        <v>6</v>
      </c>
      <c r="E40" s="3" t="n">
        <v>6</v>
      </c>
      <c r="F40" s="3" t="n">
        <f aca="false">MAX(D40,E40)</f>
        <v>6</v>
      </c>
      <c r="G40" s="9" t="n">
        <f aca="false">F40/Параметри!$B$3</f>
        <v>0.3</v>
      </c>
      <c r="H40" s="3" t="n">
        <v>2</v>
      </c>
      <c r="I40" s="4" t="s">
        <v>300</v>
      </c>
    </row>
    <row r="41" customFormat="false" ht="15" hidden="false" customHeight="false" outlineLevel="0" collapsed="false">
      <c r="A41" s="6" t="s">
        <v>138</v>
      </c>
      <c r="B41" s="3" t="s">
        <v>312</v>
      </c>
      <c r="C41" s="3" t="s">
        <v>317</v>
      </c>
      <c r="D41" s="3" t="n">
        <v>5</v>
      </c>
      <c r="E41" s="3" t="n">
        <v>5</v>
      </c>
      <c r="F41" s="3" t="n">
        <f aca="false">MAX(D41,E41)</f>
        <v>5</v>
      </c>
      <c r="G41" s="9" t="n">
        <f aca="false">F41/Параметри!$B$3</f>
        <v>0.25</v>
      </c>
      <c r="H41" s="3" t="n">
        <v>2</v>
      </c>
      <c r="I41" s="4" t="s">
        <v>300</v>
      </c>
    </row>
    <row r="42" customFormat="false" ht="15" hidden="false" customHeight="false" outlineLevel="0" collapsed="false">
      <c r="A42" s="6" t="s">
        <v>210</v>
      </c>
      <c r="B42" s="3" t="s">
        <v>274</v>
      </c>
      <c r="C42" s="3"/>
      <c r="D42" s="3" t="n">
        <v>4</v>
      </c>
      <c r="E42" s="3" t="n">
        <v>5</v>
      </c>
      <c r="F42" s="3" t="n">
        <f aca="false">MAX(D42,E42)</f>
        <v>5</v>
      </c>
      <c r="G42" s="9" t="n">
        <f aca="false">F42/Параметри!$B$3</f>
        <v>0.25</v>
      </c>
      <c r="H42" s="3" t="n">
        <v>3</v>
      </c>
      <c r="I42" s="4" t="s">
        <v>276</v>
      </c>
    </row>
    <row r="43" customFormat="false" ht="15" hidden="false" customHeight="false" outlineLevel="0" collapsed="false">
      <c r="A43" s="6" t="s">
        <v>188</v>
      </c>
      <c r="B43" s="3" t="s">
        <v>310</v>
      </c>
      <c r="C43" s="3"/>
      <c r="D43" s="3" t="n">
        <v>3</v>
      </c>
      <c r="E43" s="3" t="n">
        <v>5</v>
      </c>
      <c r="F43" s="3" t="n">
        <f aca="false">MAX(D43,E43)</f>
        <v>5</v>
      </c>
      <c r="G43" s="9" t="n">
        <f aca="false">F43/Параметри!$B$3</f>
        <v>0.25</v>
      </c>
      <c r="H43" s="3" t="n">
        <v>3</v>
      </c>
      <c r="I43" s="4" t="s">
        <v>300</v>
      </c>
    </row>
    <row r="44" customFormat="false" ht="15" hidden="false" customHeight="false" outlineLevel="0" collapsed="false">
      <c r="A44" s="6" t="s">
        <v>205</v>
      </c>
      <c r="B44" s="3" t="s">
        <v>318</v>
      </c>
      <c r="C44" s="3"/>
      <c r="D44" s="3" t="n">
        <v>5</v>
      </c>
      <c r="E44" s="3" t="n">
        <v>5</v>
      </c>
      <c r="F44" s="3" t="n">
        <f aca="false">MAX(D44,E44)</f>
        <v>5</v>
      </c>
      <c r="G44" s="9" t="n">
        <f aca="false">F44/Параметри!$B$3</f>
        <v>0.25</v>
      </c>
      <c r="H44" s="3" t="n">
        <v>3</v>
      </c>
      <c r="I44" s="4"/>
    </row>
    <row r="45" customFormat="false" ht="23.85" hidden="false" customHeight="false" outlineLevel="0" collapsed="false">
      <c r="A45" s="6" t="s">
        <v>181</v>
      </c>
      <c r="B45" s="3"/>
      <c r="C45" s="3"/>
      <c r="D45" s="3" t="n">
        <v>4</v>
      </c>
      <c r="E45" s="3" t="n">
        <v>0</v>
      </c>
      <c r="F45" s="3" t="n">
        <f aca="false">MAX(D45,E45)</f>
        <v>4</v>
      </c>
      <c r="G45" s="9" t="n">
        <f aca="false">F45/Параметри!$B$3</f>
        <v>0.2</v>
      </c>
      <c r="H45" s="3" t="n">
        <v>1</v>
      </c>
      <c r="I45" s="4" t="s">
        <v>319</v>
      </c>
    </row>
    <row r="46" customFormat="false" ht="15" hidden="false" customHeight="false" outlineLevel="0" collapsed="false">
      <c r="A46" s="6" t="s">
        <v>159</v>
      </c>
      <c r="B46" s="3" t="s">
        <v>320</v>
      </c>
      <c r="C46" s="3"/>
      <c r="D46" s="3" t="n">
        <v>3</v>
      </c>
      <c r="E46" s="3" t="n">
        <v>4</v>
      </c>
      <c r="F46" s="3" t="n">
        <f aca="false">MAX(D46,E46)</f>
        <v>4</v>
      </c>
      <c r="G46" s="9" t="n">
        <f aca="false">F46/Параметри!$B$3</f>
        <v>0.2</v>
      </c>
      <c r="H46" s="3" t="n">
        <v>4</v>
      </c>
      <c r="I46" s="4"/>
    </row>
    <row r="47" customFormat="false" ht="15" hidden="false" customHeight="false" outlineLevel="0" collapsed="false">
      <c r="A47" s="6" t="s">
        <v>97</v>
      </c>
      <c r="B47" s="3" t="s">
        <v>321</v>
      </c>
      <c r="C47" s="3"/>
      <c r="D47" s="3" t="n">
        <v>4</v>
      </c>
      <c r="E47" s="3" t="n">
        <v>4</v>
      </c>
      <c r="F47" s="3" t="n">
        <f aca="false">MAX(D47,E47)</f>
        <v>4</v>
      </c>
      <c r="G47" s="9" t="n">
        <f aca="false">F47/Параметри!$B$3</f>
        <v>0.2</v>
      </c>
      <c r="H47" s="3" t="n">
        <v>3</v>
      </c>
      <c r="I47" s="4"/>
    </row>
    <row r="48" customFormat="false" ht="15" hidden="false" customHeight="false" outlineLevel="0" collapsed="false">
      <c r="A48" s="6" t="s">
        <v>156</v>
      </c>
      <c r="B48" s="3"/>
      <c r="C48" s="3" t="s">
        <v>322</v>
      </c>
      <c r="D48" s="3" t="n">
        <v>1</v>
      </c>
      <c r="E48" s="3" t="n">
        <v>1</v>
      </c>
      <c r="F48" s="3" t="n">
        <f aca="false">MAX(D48,E48)</f>
        <v>1</v>
      </c>
      <c r="G48" s="9" t="n">
        <f aca="false">F48/Параметри!$B$3</f>
        <v>0.05</v>
      </c>
      <c r="H48" s="3" t="n">
        <v>1</v>
      </c>
      <c r="I48" s="4" t="s">
        <v>323</v>
      </c>
    </row>
    <row r="49" customFormat="false" ht="15" hidden="false" customHeight="false" outlineLevel="0" collapsed="false">
      <c r="A49" s="6" t="s">
        <v>145</v>
      </c>
      <c r="B49" s="3" t="s">
        <v>324</v>
      </c>
      <c r="C49" s="3"/>
      <c r="D49" s="3" t="n">
        <v>1</v>
      </c>
      <c r="E49" s="3" t="n">
        <v>0</v>
      </c>
      <c r="F49" s="3" t="n">
        <f aca="false">MAX(D49,E49)</f>
        <v>1</v>
      </c>
      <c r="G49" s="9" t="n">
        <f aca="false">F49/Параметри!$B$3</f>
        <v>0.05</v>
      </c>
      <c r="H49" s="3" t="n">
        <v>1</v>
      </c>
      <c r="I49" s="4"/>
    </row>
  </sheetData>
  <autoFilter ref="A1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34"/>
  </cols>
  <sheetData>
    <row r="1" customFormat="false" ht="33.75" hidden="false" customHeight="true" outlineLevel="0" collapsed="false">
      <c r="A1" s="2" t="s">
        <v>256</v>
      </c>
      <c r="B1" s="2" t="s">
        <v>325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331</v>
      </c>
      <c r="I1" s="2" t="s">
        <v>332</v>
      </c>
      <c r="J1" s="2" t="s">
        <v>333</v>
      </c>
    </row>
    <row r="2" customFormat="false" ht="35.05" hidden="false" customHeight="false" outlineLevel="0" collapsed="false">
      <c r="A2" s="3" t="s">
        <v>274</v>
      </c>
      <c r="B2" s="3" t="s">
        <v>334</v>
      </c>
      <c r="C2" s="3" t="n">
        <v>2</v>
      </c>
      <c r="D2" s="3" t="s">
        <v>335</v>
      </c>
      <c r="E2" s="3" t="n">
        <v>82</v>
      </c>
      <c r="F2" s="6" t="s">
        <v>135</v>
      </c>
      <c r="G2" s="4" t="s">
        <v>151</v>
      </c>
      <c r="H2" s="3" t="n">
        <v>92</v>
      </c>
      <c r="I2" s="6" t="s">
        <v>152</v>
      </c>
      <c r="J2" s="4" t="s">
        <v>203</v>
      </c>
    </row>
    <row r="3" customFormat="false" ht="15" hidden="false" customHeight="false" outlineLevel="0" collapsed="false">
      <c r="A3" s="3" t="s">
        <v>274</v>
      </c>
      <c r="B3" s="3" t="s">
        <v>334</v>
      </c>
      <c r="C3" s="3" t="n">
        <v>3</v>
      </c>
      <c r="D3" s="3" t="s">
        <v>335</v>
      </c>
      <c r="E3" s="3" t="n">
        <v>95</v>
      </c>
      <c r="F3" s="6" t="s">
        <v>135</v>
      </c>
      <c r="G3" s="4" t="s">
        <v>204</v>
      </c>
      <c r="H3" s="3" t="n">
        <v>88</v>
      </c>
      <c r="I3" s="6" t="s">
        <v>152</v>
      </c>
      <c r="J3" s="4" t="s">
        <v>177</v>
      </c>
    </row>
    <row r="4" customFormat="false" ht="15" hidden="false" customHeight="false" outlineLevel="0" collapsed="false">
      <c r="A4" s="3" t="s">
        <v>274</v>
      </c>
      <c r="B4" s="3" t="s">
        <v>336</v>
      </c>
      <c r="C4" s="3" t="n">
        <v>1</v>
      </c>
      <c r="D4" s="3" t="s">
        <v>335</v>
      </c>
      <c r="E4" s="3" t="n">
        <v>93</v>
      </c>
      <c r="F4" s="6" t="s">
        <v>135</v>
      </c>
      <c r="G4" s="4" t="s">
        <v>206</v>
      </c>
      <c r="H4" s="3" t="n">
        <v>95</v>
      </c>
      <c r="I4" s="6" t="s">
        <v>152</v>
      </c>
      <c r="J4" s="4" t="s">
        <v>203</v>
      </c>
    </row>
    <row r="5" customFormat="false" ht="15" hidden="false" customHeight="false" outlineLevel="0" collapsed="false">
      <c r="A5" s="3" t="s">
        <v>274</v>
      </c>
      <c r="B5" s="3" t="s">
        <v>336</v>
      </c>
      <c r="C5" s="3" t="n">
        <v>1</v>
      </c>
      <c r="D5" s="3" t="s">
        <v>337</v>
      </c>
      <c r="E5" s="3" t="n">
        <v>93</v>
      </c>
      <c r="F5" s="6" t="s">
        <v>135</v>
      </c>
      <c r="G5" s="4" t="s">
        <v>206</v>
      </c>
      <c r="H5" s="3" t="n">
        <v>95</v>
      </c>
      <c r="I5" s="6" t="s">
        <v>152</v>
      </c>
      <c r="J5" s="4" t="s">
        <v>203</v>
      </c>
    </row>
    <row r="6" customFormat="false" ht="15" hidden="false" customHeight="false" outlineLevel="0" collapsed="false">
      <c r="A6" s="3" t="s">
        <v>274</v>
      </c>
      <c r="B6" s="3" t="s">
        <v>336</v>
      </c>
      <c r="C6" s="3" t="n">
        <v>2</v>
      </c>
      <c r="D6" s="3" t="s">
        <v>335</v>
      </c>
      <c r="E6" s="3" t="n">
        <v>94</v>
      </c>
      <c r="F6" s="6" t="s">
        <v>152</v>
      </c>
      <c r="G6" s="4" t="s">
        <v>203</v>
      </c>
      <c r="H6" s="3" t="n">
        <v>99</v>
      </c>
      <c r="I6" s="6" t="s">
        <v>135</v>
      </c>
      <c r="J6" s="4" t="s">
        <v>213</v>
      </c>
    </row>
    <row r="7" customFormat="false" ht="15" hidden="false" customHeight="false" outlineLevel="0" collapsed="false">
      <c r="A7" s="3" t="s">
        <v>274</v>
      </c>
      <c r="B7" s="3" t="s">
        <v>336</v>
      </c>
      <c r="C7" s="3" t="n">
        <v>2</v>
      </c>
      <c r="D7" s="3" t="s">
        <v>337</v>
      </c>
      <c r="E7" s="3" t="n">
        <v>94</v>
      </c>
      <c r="F7" s="6" t="s">
        <v>152</v>
      </c>
      <c r="G7" s="4" t="s">
        <v>203</v>
      </c>
      <c r="H7" s="3" t="n">
        <v>99</v>
      </c>
      <c r="I7" s="6" t="s">
        <v>135</v>
      </c>
      <c r="J7" s="4" t="s">
        <v>213</v>
      </c>
    </row>
    <row r="8" customFormat="false" ht="23.85" hidden="false" customHeight="false" outlineLevel="0" collapsed="false">
      <c r="A8" s="3" t="s">
        <v>274</v>
      </c>
      <c r="B8" s="3" t="s">
        <v>338</v>
      </c>
      <c r="C8" s="3" t="n">
        <v>3</v>
      </c>
      <c r="D8" s="3" t="s">
        <v>335</v>
      </c>
      <c r="E8" s="3" t="n">
        <v>79</v>
      </c>
      <c r="F8" s="6" t="s">
        <v>135</v>
      </c>
      <c r="G8" s="4" t="s">
        <v>98</v>
      </c>
      <c r="H8" s="3" t="n">
        <v>94</v>
      </c>
      <c r="I8" s="6" t="s">
        <v>210</v>
      </c>
      <c r="J8" s="4" t="s">
        <v>206</v>
      </c>
    </row>
    <row r="9" customFormat="false" ht="23.85" hidden="false" customHeight="false" outlineLevel="0" collapsed="false">
      <c r="A9" s="3" t="s">
        <v>274</v>
      </c>
      <c r="B9" s="3" t="s">
        <v>338</v>
      </c>
      <c r="C9" s="3" t="n">
        <v>3</v>
      </c>
      <c r="D9" s="3" t="s">
        <v>335</v>
      </c>
      <c r="E9" s="3" t="n">
        <v>79</v>
      </c>
      <c r="F9" s="6" t="s">
        <v>135</v>
      </c>
      <c r="G9" s="4" t="s">
        <v>98</v>
      </c>
      <c r="H9" s="3" t="n">
        <v>96</v>
      </c>
      <c r="I9" s="6" t="s">
        <v>152</v>
      </c>
      <c r="J9" s="4" t="s">
        <v>203</v>
      </c>
    </row>
    <row r="10" customFormat="false" ht="15" hidden="false" customHeight="false" outlineLevel="0" collapsed="false">
      <c r="A10" s="3" t="s">
        <v>274</v>
      </c>
      <c r="B10" s="3" t="s">
        <v>338</v>
      </c>
      <c r="C10" s="3" t="n">
        <v>3</v>
      </c>
      <c r="D10" s="3" t="s">
        <v>335</v>
      </c>
      <c r="E10" s="3" t="n">
        <v>94</v>
      </c>
      <c r="F10" s="6" t="s">
        <v>210</v>
      </c>
      <c r="G10" s="4" t="s">
        <v>206</v>
      </c>
      <c r="H10" s="3" t="n">
        <v>96</v>
      </c>
      <c r="I10" s="6" t="s">
        <v>152</v>
      </c>
      <c r="J10" s="4" t="s">
        <v>203</v>
      </c>
    </row>
    <row r="11" customFormat="false" ht="15" hidden="false" customHeight="false" outlineLevel="0" collapsed="false">
      <c r="A11" s="3" t="s">
        <v>274</v>
      </c>
      <c r="B11" s="3" t="s">
        <v>338</v>
      </c>
      <c r="C11" s="3" t="n">
        <v>3</v>
      </c>
      <c r="D11" s="3" t="s">
        <v>337</v>
      </c>
      <c r="E11" s="3" t="n">
        <v>79</v>
      </c>
      <c r="F11" s="6" t="s">
        <v>135</v>
      </c>
      <c r="G11" s="4" t="s">
        <v>136</v>
      </c>
      <c r="H11" s="3" t="n">
        <v>94</v>
      </c>
      <c r="I11" s="6" t="s">
        <v>210</v>
      </c>
      <c r="J11" s="4" t="s">
        <v>206</v>
      </c>
    </row>
    <row r="12" customFormat="false" ht="15" hidden="false" customHeight="false" outlineLevel="0" collapsed="false">
      <c r="A12" s="3" t="s">
        <v>274</v>
      </c>
      <c r="B12" s="3" t="s">
        <v>338</v>
      </c>
      <c r="C12" s="3" t="n">
        <v>3</v>
      </c>
      <c r="D12" s="3" t="s">
        <v>337</v>
      </c>
      <c r="E12" s="3" t="n">
        <v>79</v>
      </c>
      <c r="F12" s="6" t="s">
        <v>135</v>
      </c>
      <c r="G12" s="4" t="s">
        <v>136</v>
      </c>
      <c r="H12" s="3" t="n">
        <v>96</v>
      </c>
      <c r="I12" s="6" t="s">
        <v>152</v>
      </c>
      <c r="J12" s="4" t="s">
        <v>203</v>
      </c>
    </row>
    <row r="13" customFormat="false" ht="15" hidden="false" customHeight="false" outlineLevel="0" collapsed="false">
      <c r="A13" s="3" t="s">
        <v>274</v>
      </c>
      <c r="B13" s="3" t="s">
        <v>338</v>
      </c>
      <c r="C13" s="3" t="n">
        <v>3</v>
      </c>
      <c r="D13" s="3" t="s">
        <v>337</v>
      </c>
      <c r="E13" s="3" t="n">
        <v>94</v>
      </c>
      <c r="F13" s="6" t="s">
        <v>210</v>
      </c>
      <c r="G13" s="4" t="s">
        <v>206</v>
      </c>
      <c r="H13" s="3" t="n">
        <v>96</v>
      </c>
      <c r="I13" s="6" t="s">
        <v>152</v>
      </c>
      <c r="J13" s="4" t="s">
        <v>203</v>
      </c>
    </row>
    <row r="14" customFormat="false" ht="15" hidden="false" customHeight="false" outlineLevel="0" collapsed="false">
      <c r="A14" s="3" t="s">
        <v>274</v>
      </c>
      <c r="B14" s="3" t="s">
        <v>339</v>
      </c>
      <c r="C14" s="3" t="n">
        <v>2</v>
      </c>
      <c r="D14" s="3" t="s">
        <v>335</v>
      </c>
      <c r="E14" s="3" t="n">
        <v>79</v>
      </c>
      <c r="F14" s="6" t="s">
        <v>135</v>
      </c>
      <c r="G14" s="4" t="s">
        <v>136</v>
      </c>
      <c r="H14" s="3" t="n">
        <v>92</v>
      </c>
      <c r="I14" s="6" t="s">
        <v>152</v>
      </c>
      <c r="J14" s="4" t="s">
        <v>203</v>
      </c>
    </row>
    <row r="15" customFormat="false" ht="15" hidden="false" customHeight="false" outlineLevel="0" collapsed="false">
      <c r="A15" s="3" t="s">
        <v>274</v>
      </c>
      <c r="B15" s="3" t="s">
        <v>339</v>
      </c>
      <c r="C15" s="3" t="n">
        <v>2</v>
      </c>
      <c r="D15" s="3" t="s">
        <v>337</v>
      </c>
      <c r="E15" s="3" t="n">
        <v>79</v>
      </c>
      <c r="F15" s="6" t="s">
        <v>135</v>
      </c>
      <c r="G15" s="4" t="s">
        <v>136</v>
      </c>
      <c r="H15" s="3" t="n">
        <v>92</v>
      </c>
      <c r="I15" s="6" t="s">
        <v>152</v>
      </c>
      <c r="J15" s="4" t="s">
        <v>203</v>
      </c>
    </row>
    <row r="16" customFormat="false" ht="35.05" hidden="false" customHeight="false" outlineLevel="0" collapsed="false">
      <c r="A16" s="3" t="s">
        <v>274</v>
      </c>
      <c r="B16" s="3" t="s">
        <v>339</v>
      </c>
      <c r="C16" s="3" t="n">
        <v>3</v>
      </c>
      <c r="D16" s="3" t="s">
        <v>335</v>
      </c>
      <c r="E16" s="3" t="n">
        <v>80</v>
      </c>
      <c r="F16" s="6" t="s">
        <v>135</v>
      </c>
      <c r="G16" s="4" t="s">
        <v>136</v>
      </c>
      <c r="H16" s="3" t="n">
        <v>81</v>
      </c>
      <c r="I16" s="6" t="s">
        <v>152</v>
      </c>
      <c r="J16" s="4" t="s">
        <v>151</v>
      </c>
    </row>
    <row r="17" customFormat="false" ht="15" hidden="false" customHeight="false" outlineLevel="0" collapsed="false">
      <c r="A17" s="3" t="s">
        <v>274</v>
      </c>
      <c r="B17" s="3" t="s">
        <v>339</v>
      </c>
      <c r="C17" s="3" t="n">
        <v>3</v>
      </c>
      <c r="D17" s="3" t="s">
        <v>335</v>
      </c>
      <c r="E17" s="3" t="n">
        <v>80</v>
      </c>
      <c r="F17" s="6" t="s">
        <v>135</v>
      </c>
      <c r="G17" s="4" t="s">
        <v>136</v>
      </c>
      <c r="H17" s="3" t="n">
        <v>97</v>
      </c>
      <c r="I17" s="6" t="s">
        <v>210</v>
      </c>
      <c r="J17" s="4" t="s">
        <v>206</v>
      </c>
    </row>
    <row r="18" customFormat="false" ht="35.05" hidden="false" customHeight="false" outlineLevel="0" collapsed="false">
      <c r="A18" s="3" t="s">
        <v>274</v>
      </c>
      <c r="B18" s="3" t="s">
        <v>339</v>
      </c>
      <c r="C18" s="3" t="n">
        <v>3</v>
      </c>
      <c r="D18" s="3" t="s">
        <v>335</v>
      </c>
      <c r="E18" s="3" t="n">
        <v>81</v>
      </c>
      <c r="F18" s="6" t="s">
        <v>152</v>
      </c>
      <c r="G18" s="4" t="s">
        <v>151</v>
      </c>
      <c r="H18" s="3" t="n">
        <v>97</v>
      </c>
      <c r="I18" s="6" t="s">
        <v>210</v>
      </c>
      <c r="J18" s="4" t="s">
        <v>206</v>
      </c>
    </row>
    <row r="19" customFormat="false" ht="35.05" hidden="false" customHeight="false" outlineLevel="0" collapsed="false">
      <c r="A19" s="3" t="s">
        <v>274</v>
      </c>
      <c r="B19" s="3" t="s">
        <v>339</v>
      </c>
      <c r="C19" s="3" t="n">
        <v>3</v>
      </c>
      <c r="D19" s="3" t="s">
        <v>337</v>
      </c>
      <c r="E19" s="3" t="n">
        <v>80</v>
      </c>
      <c r="F19" s="6" t="s">
        <v>135</v>
      </c>
      <c r="G19" s="4" t="s">
        <v>136</v>
      </c>
      <c r="H19" s="3" t="n">
        <v>81</v>
      </c>
      <c r="I19" s="6" t="s">
        <v>152</v>
      </c>
      <c r="J19" s="4" t="s">
        <v>151</v>
      </c>
    </row>
    <row r="20" customFormat="false" ht="35.05" hidden="false" customHeight="false" outlineLevel="0" collapsed="false">
      <c r="A20" s="3" t="s">
        <v>274</v>
      </c>
      <c r="B20" s="3" t="s">
        <v>340</v>
      </c>
      <c r="C20" s="3" t="n">
        <v>1</v>
      </c>
      <c r="D20" s="3" t="s">
        <v>335</v>
      </c>
      <c r="E20" s="3" t="n">
        <v>82</v>
      </c>
      <c r="F20" s="6" t="s">
        <v>135</v>
      </c>
      <c r="G20" s="4" t="s">
        <v>151</v>
      </c>
      <c r="H20" s="3" t="n">
        <v>88</v>
      </c>
      <c r="I20" s="6" t="s">
        <v>152</v>
      </c>
      <c r="J20" s="4" t="s">
        <v>177</v>
      </c>
    </row>
    <row r="21" customFormat="false" ht="35.05" hidden="false" customHeight="false" outlineLevel="0" collapsed="false">
      <c r="A21" s="3" t="s">
        <v>274</v>
      </c>
      <c r="B21" s="3" t="s">
        <v>340</v>
      </c>
      <c r="C21" s="3" t="n">
        <v>1</v>
      </c>
      <c r="D21" s="3" t="s">
        <v>335</v>
      </c>
      <c r="E21" s="3" t="n">
        <v>82</v>
      </c>
      <c r="F21" s="6" t="s">
        <v>135</v>
      </c>
      <c r="G21" s="4" t="s">
        <v>151</v>
      </c>
      <c r="H21" s="3" t="n">
        <v>96</v>
      </c>
      <c r="I21" s="6" t="s">
        <v>210</v>
      </c>
      <c r="J21" s="4" t="s">
        <v>206</v>
      </c>
    </row>
    <row r="22" customFormat="false" ht="15" hidden="false" customHeight="false" outlineLevel="0" collapsed="false">
      <c r="A22" s="3" t="s">
        <v>274</v>
      </c>
      <c r="B22" s="3" t="s">
        <v>340</v>
      </c>
      <c r="C22" s="3" t="n">
        <v>1</v>
      </c>
      <c r="D22" s="3" t="s">
        <v>335</v>
      </c>
      <c r="E22" s="3" t="n">
        <v>88</v>
      </c>
      <c r="F22" s="6" t="s">
        <v>152</v>
      </c>
      <c r="G22" s="4" t="s">
        <v>177</v>
      </c>
      <c r="H22" s="3" t="n">
        <v>96</v>
      </c>
      <c r="I22" s="6" t="s">
        <v>210</v>
      </c>
      <c r="J22" s="4" t="s">
        <v>206</v>
      </c>
    </row>
    <row r="23" customFormat="false" ht="35.05" hidden="false" customHeight="false" outlineLevel="0" collapsed="false">
      <c r="A23" s="3" t="s">
        <v>274</v>
      </c>
      <c r="B23" s="3" t="s">
        <v>340</v>
      </c>
      <c r="C23" s="3" t="n">
        <v>1</v>
      </c>
      <c r="D23" s="3" t="s">
        <v>337</v>
      </c>
      <c r="E23" s="3" t="n">
        <v>82</v>
      </c>
      <c r="F23" s="6" t="s">
        <v>135</v>
      </c>
      <c r="G23" s="4" t="s">
        <v>151</v>
      </c>
      <c r="H23" s="3" t="n">
        <v>88</v>
      </c>
      <c r="I23" s="6" t="s">
        <v>152</v>
      </c>
      <c r="J23" s="4" t="s">
        <v>177</v>
      </c>
    </row>
    <row r="24" customFormat="false" ht="35.05" hidden="false" customHeight="false" outlineLevel="0" collapsed="false">
      <c r="A24" s="3" t="s">
        <v>274</v>
      </c>
      <c r="B24" s="3" t="s">
        <v>340</v>
      </c>
      <c r="C24" s="3" t="n">
        <v>1</v>
      </c>
      <c r="D24" s="3" t="s">
        <v>337</v>
      </c>
      <c r="E24" s="3" t="n">
        <v>82</v>
      </c>
      <c r="F24" s="6" t="s">
        <v>135</v>
      </c>
      <c r="G24" s="4" t="s">
        <v>151</v>
      </c>
      <c r="H24" s="3" t="n">
        <v>96</v>
      </c>
      <c r="I24" s="6" t="s">
        <v>210</v>
      </c>
      <c r="J24" s="4" t="s">
        <v>206</v>
      </c>
    </row>
    <row r="25" customFormat="false" ht="15" hidden="false" customHeight="false" outlineLevel="0" collapsed="false">
      <c r="A25" s="3" t="s">
        <v>274</v>
      </c>
      <c r="B25" s="3" t="s">
        <v>340</v>
      </c>
      <c r="C25" s="3" t="n">
        <v>1</v>
      </c>
      <c r="D25" s="3" t="s">
        <v>337</v>
      </c>
      <c r="E25" s="3" t="n">
        <v>88</v>
      </c>
      <c r="F25" s="6" t="s">
        <v>152</v>
      </c>
      <c r="G25" s="4" t="s">
        <v>177</v>
      </c>
      <c r="H25" s="3" t="n">
        <v>96</v>
      </c>
      <c r="I25" s="6" t="s">
        <v>210</v>
      </c>
      <c r="J25" s="4" t="s">
        <v>206</v>
      </c>
    </row>
    <row r="26" customFormat="false" ht="35.05" hidden="false" customHeight="false" outlineLevel="0" collapsed="false">
      <c r="A26" s="3" t="s">
        <v>274</v>
      </c>
      <c r="B26" s="3" t="s">
        <v>340</v>
      </c>
      <c r="C26" s="3" t="n">
        <v>3</v>
      </c>
      <c r="D26" s="3" t="s">
        <v>335</v>
      </c>
      <c r="E26" s="3" t="n">
        <v>80</v>
      </c>
      <c r="F26" s="6" t="s">
        <v>135</v>
      </c>
      <c r="G26" s="4" t="s">
        <v>136</v>
      </c>
      <c r="H26" s="3" t="n">
        <v>81</v>
      </c>
      <c r="I26" s="6" t="s">
        <v>152</v>
      </c>
      <c r="J26" s="4" t="s">
        <v>151</v>
      </c>
    </row>
    <row r="27" customFormat="false" ht="15" hidden="false" customHeight="false" outlineLevel="0" collapsed="false">
      <c r="A27" s="3" t="s">
        <v>274</v>
      </c>
      <c r="B27" s="3" t="s">
        <v>340</v>
      </c>
      <c r="C27" s="3" t="n">
        <v>3</v>
      </c>
      <c r="D27" s="3" t="s">
        <v>335</v>
      </c>
      <c r="E27" s="3" t="n">
        <v>80</v>
      </c>
      <c r="F27" s="6" t="s">
        <v>135</v>
      </c>
      <c r="G27" s="4" t="s">
        <v>136</v>
      </c>
      <c r="H27" s="3" t="n">
        <v>97</v>
      </c>
      <c r="I27" s="6" t="s">
        <v>210</v>
      </c>
      <c r="J27" s="4" t="s">
        <v>206</v>
      </c>
    </row>
    <row r="28" customFormat="false" ht="35.05" hidden="false" customHeight="false" outlineLevel="0" collapsed="false">
      <c r="A28" s="3" t="s">
        <v>274</v>
      </c>
      <c r="B28" s="3" t="s">
        <v>340</v>
      </c>
      <c r="C28" s="3" t="n">
        <v>3</v>
      </c>
      <c r="D28" s="3" t="s">
        <v>335</v>
      </c>
      <c r="E28" s="3" t="n">
        <v>81</v>
      </c>
      <c r="F28" s="6" t="s">
        <v>152</v>
      </c>
      <c r="G28" s="4" t="s">
        <v>151</v>
      </c>
      <c r="H28" s="3" t="n">
        <v>97</v>
      </c>
      <c r="I28" s="6" t="s">
        <v>210</v>
      </c>
      <c r="J28" s="4" t="s">
        <v>206</v>
      </c>
    </row>
    <row r="29" customFormat="false" ht="35.05" hidden="false" customHeight="false" outlineLevel="0" collapsed="false">
      <c r="A29" s="3" t="s">
        <v>274</v>
      </c>
      <c r="B29" s="3" t="s">
        <v>340</v>
      </c>
      <c r="C29" s="3" t="n">
        <v>3</v>
      </c>
      <c r="D29" s="3" t="s">
        <v>337</v>
      </c>
      <c r="E29" s="3" t="n">
        <v>79</v>
      </c>
      <c r="F29" s="6" t="s">
        <v>135</v>
      </c>
      <c r="G29" s="4" t="s">
        <v>136</v>
      </c>
      <c r="H29" s="3" t="n">
        <v>81</v>
      </c>
      <c r="I29" s="6" t="s">
        <v>152</v>
      </c>
      <c r="J29" s="4" t="s">
        <v>151</v>
      </c>
    </row>
    <row r="30" customFormat="false" ht="15" hidden="false" customHeight="false" outlineLevel="0" collapsed="false">
      <c r="A30" s="3" t="s">
        <v>274</v>
      </c>
      <c r="B30" s="3" t="s">
        <v>340</v>
      </c>
      <c r="C30" s="3" t="n">
        <v>3</v>
      </c>
      <c r="D30" s="3" t="s">
        <v>337</v>
      </c>
      <c r="E30" s="3" t="n">
        <v>79</v>
      </c>
      <c r="F30" s="6" t="s">
        <v>135</v>
      </c>
      <c r="G30" s="4" t="s">
        <v>136</v>
      </c>
      <c r="H30" s="3" t="n">
        <v>97</v>
      </c>
      <c r="I30" s="6" t="s">
        <v>210</v>
      </c>
      <c r="J30" s="4" t="s">
        <v>206</v>
      </c>
    </row>
    <row r="31" customFormat="false" ht="35.05" hidden="false" customHeight="false" outlineLevel="0" collapsed="false">
      <c r="A31" s="3" t="s">
        <v>274</v>
      </c>
      <c r="B31" s="3" t="s">
        <v>340</v>
      </c>
      <c r="C31" s="3" t="n">
        <v>3</v>
      </c>
      <c r="D31" s="3" t="s">
        <v>337</v>
      </c>
      <c r="E31" s="3" t="n">
        <v>81</v>
      </c>
      <c r="F31" s="6" t="s">
        <v>152</v>
      </c>
      <c r="G31" s="4" t="s">
        <v>151</v>
      </c>
      <c r="H31" s="3" t="n">
        <v>97</v>
      </c>
      <c r="I31" s="6" t="s">
        <v>210</v>
      </c>
      <c r="J31" s="4" t="s">
        <v>206</v>
      </c>
    </row>
    <row r="32" customFormat="false" ht="15" hidden="false" customHeight="false" outlineLevel="0" collapsed="false">
      <c r="A32" s="3" t="s">
        <v>274</v>
      </c>
      <c r="B32" s="3" t="s">
        <v>340</v>
      </c>
      <c r="C32" s="3" t="n">
        <v>4</v>
      </c>
      <c r="D32" s="3" t="s">
        <v>335</v>
      </c>
      <c r="E32" s="3" t="n">
        <v>87</v>
      </c>
      <c r="F32" s="6" t="s">
        <v>152</v>
      </c>
      <c r="G32" s="4" t="s">
        <v>177</v>
      </c>
      <c r="H32" s="3" t="n">
        <v>93</v>
      </c>
      <c r="I32" s="6" t="s">
        <v>135</v>
      </c>
      <c r="J32" s="4" t="s">
        <v>204</v>
      </c>
    </row>
    <row r="33" customFormat="false" ht="15" hidden="false" customHeight="false" outlineLevel="0" collapsed="false">
      <c r="A33" s="3" t="s">
        <v>274</v>
      </c>
      <c r="B33" s="3" t="s">
        <v>340</v>
      </c>
      <c r="C33" s="3" t="n">
        <v>4</v>
      </c>
      <c r="D33" s="3" t="s">
        <v>337</v>
      </c>
      <c r="E33" s="3" t="n">
        <v>87</v>
      </c>
      <c r="F33" s="6" t="s">
        <v>152</v>
      </c>
      <c r="G33" s="4" t="s">
        <v>177</v>
      </c>
      <c r="H33" s="3" t="n">
        <v>93</v>
      </c>
      <c r="I33" s="6" t="s">
        <v>135</v>
      </c>
      <c r="J33" s="4" t="s">
        <v>204</v>
      </c>
    </row>
    <row r="34" customFormat="false" ht="15" hidden="false" customHeight="false" outlineLevel="0" collapsed="false">
      <c r="A34" s="3" t="s">
        <v>307</v>
      </c>
      <c r="B34" s="3" t="s">
        <v>336</v>
      </c>
      <c r="C34" s="3" t="n">
        <v>2</v>
      </c>
      <c r="D34" s="3" t="s">
        <v>335</v>
      </c>
      <c r="E34" s="3" t="n">
        <v>82</v>
      </c>
      <c r="F34" s="6" t="s">
        <v>110</v>
      </c>
      <c r="G34" s="4" t="s">
        <v>148</v>
      </c>
      <c r="H34" s="3" t="n">
        <v>87</v>
      </c>
      <c r="I34" s="6" t="s">
        <v>120</v>
      </c>
      <c r="J34" s="4" t="s">
        <v>178</v>
      </c>
    </row>
    <row r="35" customFormat="false" ht="15" hidden="false" customHeight="false" outlineLevel="0" collapsed="false">
      <c r="A35" s="3" t="s">
        <v>307</v>
      </c>
      <c r="B35" s="3" t="s">
        <v>336</v>
      </c>
      <c r="C35" s="3" t="n">
        <v>2</v>
      </c>
      <c r="D35" s="3" t="s">
        <v>337</v>
      </c>
      <c r="E35" s="3" t="n">
        <v>82</v>
      </c>
      <c r="F35" s="6" t="s">
        <v>110</v>
      </c>
      <c r="G35" s="4" t="s">
        <v>148</v>
      </c>
      <c r="H35" s="3" t="n">
        <v>87</v>
      </c>
      <c r="I35" s="6" t="s">
        <v>120</v>
      </c>
      <c r="J35" s="4" t="s">
        <v>178</v>
      </c>
    </row>
    <row r="36" customFormat="false" ht="15" hidden="false" customHeight="false" outlineLevel="0" collapsed="false">
      <c r="A36" s="3" t="s">
        <v>307</v>
      </c>
      <c r="B36" s="3" t="s">
        <v>336</v>
      </c>
      <c r="C36" s="3" t="n">
        <v>3</v>
      </c>
      <c r="D36" s="3" t="s">
        <v>335</v>
      </c>
      <c r="E36" s="3" t="n">
        <v>81</v>
      </c>
      <c r="F36" s="6" t="s">
        <v>110</v>
      </c>
      <c r="G36" s="4" t="s">
        <v>148</v>
      </c>
      <c r="H36" s="3" t="n">
        <v>89</v>
      </c>
      <c r="I36" s="6" t="s">
        <v>120</v>
      </c>
      <c r="J36" s="4" t="s">
        <v>178</v>
      </c>
    </row>
    <row r="37" customFormat="false" ht="15" hidden="false" customHeight="false" outlineLevel="0" collapsed="false">
      <c r="A37" s="3" t="s">
        <v>307</v>
      </c>
      <c r="B37" s="3" t="s">
        <v>336</v>
      </c>
      <c r="C37" s="3" t="n">
        <v>3</v>
      </c>
      <c r="D37" s="3" t="s">
        <v>337</v>
      </c>
      <c r="E37" s="3" t="n">
        <v>81</v>
      </c>
      <c r="F37" s="6" t="s">
        <v>110</v>
      </c>
      <c r="G37" s="4" t="s">
        <v>148</v>
      </c>
      <c r="H37" s="3" t="n">
        <v>89</v>
      </c>
      <c r="I37" s="6" t="s">
        <v>120</v>
      </c>
      <c r="J37" s="4" t="s">
        <v>178</v>
      </c>
    </row>
    <row r="38" customFormat="false" ht="15" hidden="false" customHeight="false" outlineLevel="0" collapsed="false">
      <c r="A38" s="3" t="s">
        <v>307</v>
      </c>
      <c r="B38" s="3" t="s">
        <v>339</v>
      </c>
      <c r="C38" s="3" t="n">
        <v>1</v>
      </c>
      <c r="D38" s="3" t="s">
        <v>335</v>
      </c>
      <c r="E38" s="3" t="n">
        <v>82</v>
      </c>
      <c r="F38" s="6" t="s">
        <v>110</v>
      </c>
      <c r="G38" s="4" t="s">
        <v>148</v>
      </c>
      <c r="H38" s="3" t="n">
        <v>90</v>
      </c>
      <c r="I38" s="6" t="s">
        <v>120</v>
      </c>
      <c r="J38" s="4" t="s">
        <v>178</v>
      </c>
    </row>
    <row r="39" customFormat="false" ht="15" hidden="false" customHeight="false" outlineLevel="0" collapsed="false">
      <c r="A39" s="3" t="s">
        <v>307</v>
      </c>
      <c r="B39" s="3" t="s">
        <v>339</v>
      </c>
      <c r="C39" s="3" t="n">
        <v>1</v>
      </c>
      <c r="D39" s="3" t="s">
        <v>337</v>
      </c>
      <c r="E39" s="3" t="n">
        <v>82</v>
      </c>
      <c r="F39" s="6" t="s">
        <v>110</v>
      </c>
      <c r="G39" s="4" t="s">
        <v>148</v>
      </c>
      <c r="H39" s="3" t="n">
        <v>90</v>
      </c>
      <c r="I39" s="6" t="s">
        <v>120</v>
      </c>
      <c r="J39" s="4" t="s">
        <v>178</v>
      </c>
    </row>
    <row r="40" customFormat="false" ht="15" hidden="false" customHeight="false" outlineLevel="0" collapsed="false">
      <c r="A40" s="3" t="s">
        <v>307</v>
      </c>
      <c r="B40" s="3" t="s">
        <v>339</v>
      </c>
      <c r="C40" s="3" t="n">
        <v>3</v>
      </c>
      <c r="D40" s="3" t="s">
        <v>335</v>
      </c>
      <c r="E40" s="3" t="n">
        <v>77</v>
      </c>
      <c r="F40" s="6" t="s">
        <v>110</v>
      </c>
      <c r="G40" s="4" t="s">
        <v>109</v>
      </c>
      <c r="H40" s="3" t="n">
        <v>88</v>
      </c>
      <c r="I40" s="6" t="s">
        <v>120</v>
      </c>
      <c r="J40" s="4" t="s">
        <v>178</v>
      </c>
    </row>
    <row r="41" customFormat="false" ht="15" hidden="false" customHeight="false" outlineLevel="0" collapsed="false">
      <c r="A41" s="3" t="s">
        <v>307</v>
      </c>
      <c r="B41" s="3" t="s">
        <v>339</v>
      </c>
      <c r="C41" s="3" t="n">
        <v>3</v>
      </c>
      <c r="D41" s="3" t="s">
        <v>337</v>
      </c>
      <c r="E41" s="3" t="n">
        <v>77</v>
      </c>
      <c r="F41" s="6" t="s">
        <v>110</v>
      </c>
      <c r="G41" s="4" t="s">
        <v>109</v>
      </c>
      <c r="H41" s="3" t="n">
        <v>88</v>
      </c>
      <c r="I41" s="6" t="s">
        <v>120</v>
      </c>
      <c r="J41" s="4" t="s">
        <v>178</v>
      </c>
    </row>
    <row r="42" customFormat="false" ht="15" hidden="false" customHeight="false" outlineLevel="0" collapsed="false">
      <c r="A42" s="3" t="s">
        <v>292</v>
      </c>
      <c r="B42" s="3" t="s">
        <v>334</v>
      </c>
      <c r="C42" s="3" t="n">
        <v>3</v>
      </c>
      <c r="D42" s="3" t="s">
        <v>335</v>
      </c>
      <c r="E42" s="3" t="n">
        <v>84</v>
      </c>
      <c r="F42" s="6" t="s">
        <v>134</v>
      </c>
      <c r="G42" s="4" t="s">
        <v>100</v>
      </c>
      <c r="H42" s="3" t="n">
        <v>87</v>
      </c>
      <c r="I42" s="6" t="s">
        <v>104</v>
      </c>
      <c r="J42" s="4" t="s">
        <v>176</v>
      </c>
    </row>
    <row r="43" customFormat="false" ht="15" hidden="false" customHeight="false" outlineLevel="0" collapsed="false">
      <c r="A43" s="3" t="s">
        <v>292</v>
      </c>
      <c r="B43" s="3" t="s">
        <v>334</v>
      </c>
      <c r="C43" s="3" t="n">
        <v>3</v>
      </c>
      <c r="D43" s="3" t="s">
        <v>335</v>
      </c>
      <c r="E43" s="3" t="n">
        <v>84</v>
      </c>
      <c r="F43" s="6" t="s">
        <v>134</v>
      </c>
      <c r="G43" s="4" t="s">
        <v>100</v>
      </c>
      <c r="H43" s="3" t="n">
        <v>99</v>
      </c>
      <c r="I43" s="6" t="s">
        <v>123</v>
      </c>
      <c r="J43" s="4" t="s">
        <v>196</v>
      </c>
    </row>
    <row r="44" customFormat="false" ht="15" hidden="false" customHeight="false" outlineLevel="0" collapsed="false">
      <c r="A44" s="3" t="s">
        <v>292</v>
      </c>
      <c r="B44" s="3" t="s">
        <v>334</v>
      </c>
      <c r="C44" s="3" t="n">
        <v>3</v>
      </c>
      <c r="D44" s="3" t="s">
        <v>335</v>
      </c>
      <c r="E44" s="3" t="n">
        <v>87</v>
      </c>
      <c r="F44" s="6" t="s">
        <v>104</v>
      </c>
      <c r="G44" s="4" t="s">
        <v>176</v>
      </c>
      <c r="H44" s="3" t="n">
        <v>99</v>
      </c>
      <c r="I44" s="6" t="s">
        <v>123</v>
      </c>
      <c r="J44" s="4" t="s">
        <v>196</v>
      </c>
    </row>
    <row r="45" customFormat="false" ht="15" hidden="false" customHeight="false" outlineLevel="0" collapsed="false">
      <c r="A45" s="3" t="s">
        <v>292</v>
      </c>
      <c r="B45" s="3" t="s">
        <v>334</v>
      </c>
      <c r="C45" s="3" t="n">
        <v>4</v>
      </c>
      <c r="D45" s="3" t="s">
        <v>337</v>
      </c>
      <c r="E45" s="3" t="n">
        <v>78</v>
      </c>
      <c r="F45" s="6" t="s">
        <v>125</v>
      </c>
      <c r="G45" s="4" t="s">
        <v>126</v>
      </c>
      <c r="H45" s="3" t="n">
        <v>84</v>
      </c>
      <c r="I45" s="6" t="s">
        <v>123</v>
      </c>
      <c r="J45" s="4" t="s">
        <v>162</v>
      </c>
    </row>
    <row r="46" customFormat="false" ht="15" hidden="false" customHeight="false" outlineLevel="0" collapsed="false">
      <c r="A46" s="3" t="s">
        <v>292</v>
      </c>
      <c r="B46" s="3" t="s">
        <v>336</v>
      </c>
      <c r="C46" s="3" t="n">
        <v>1</v>
      </c>
      <c r="D46" s="3" t="s">
        <v>335</v>
      </c>
      <c r="E46" s="3" t="n">
        <v>75</v>
      </c>
      <c r="F46" s="6" t="s">
        <v>104</v>
      </c>
      <c r="G46" s="4" t="s">
        <v>103</v>
      </c>
      <c r="H46" s="3" t="n">
        <v>84</v>
      </c>
      <c r="I46" s="6" t="s">
        <v>123</v>
      </c>
      <c r="J46" s="4" t="s">
        <v>162</v>
      </c>
    </row>
    <row r="47" customFormat="false" ht="15" hidden="false" customHeight="false" outlineLevel="0" collapsed="false">
      <c r="A47" s="3" t="s">
        <v>292</v>
      </c>
      <c r="B47" s="3" t="s">
        <v>336</v>
      </c>
      <c r="C47" s="3" t="n">
        <v>1</v>
      </c>
      <c r="D47" s="3" t="s">
        <v>337</v>
      </c>
      <c r="E47" s="3" t="n">
        <v>75</v>
      </c>
      <c r="F47" s="6" t="s">
        <v>104</v>
      </c>
      <c r="G47" s="4" t="s">
        <v>103</v>
      </c>
      <c r="H47" s="3" t="n">
        <v>84</v>
      </c>
      <c r="I47" s="6" t="s">
        <v>134</v>
      </c>
      <c r="J47" s="4" t="s">
        <v>161</v>
      </c>
    </row>
    <row r="48" customFormat="false" ht="15" hidden="false" customHeight="false" outlineLevel="0" collapsed="false">
      <c r="A48" s="3" t="s">
        <v>292</v>
      </c>
      <c r="B48" s="3" t="s">
        <v>336</v>
      </c>
      <c r="C48" s="3" t="n">
        <v>1</v>
      </c>
      <c r="D48" s="3" t="s">
        <v>337</v>
      </c>
      <c r="E48" s="3" t="n">
        <v>75</v>
      </c>
      <c r="F48" s="6" t="s">
        <v>104</v>
      </c>
      <c r="G48" s="4" t="s">
        <v>103</v>
      </c>
      <c r="H48" s="3" t="n">
        <v>88</v>
      </c>
      <c r="I48" s="6" t="s">
        <v>123</v>
      </c>
      <c r="J48" s="4" t="s">
        <v>196</v>
      </c>
    </row>
    <row r="49" customFormat="false" ht="15" hidden="false" customHeight="false" outlineLevel="0" collapsed="false">
      <c r="A49" s="3" t="s">
        <v>292</v>
      </c>
      <c r="B49" s="3" t="s">
        <v>336</v>
      </c>
      <c r="C49" s="3" t="n">
        <v>1</v>
      </c>
      <c r="D49" s="3" t="s">
        <v>337</v>
      </c>
      <c r="E49" s="3" t="n">
        <v>84</v>
      </c>
      <c r="F49" s="6" t="s">
        <v>134</v>
      </c>
      <c r="G49" s="4" t="s">
        <v>161</v>
      </c>
      <c r="H49" s="3" t="n">
        <v>88</v>
      </c>
      <c r="I49" s="6" t="s">
        <v>123</v>
      </c>
      <c r="J49" s="4" t="s">
        <v>196</v>
      </c>
    </row>
    <row r="50" customFormat="false" ht="15" hidden="false" customHeight="false" outlineLevel="0" collapsed="false">
      <c r="A50" s="3" t="s">
        <v>292</v>
      </c>
      <c r="B50" s="3" t="s">
        <v>336</v>
      </c>
      <c r="C50" s="3" t="n">
        <v>2</v>
      </c>
      <c r="D50" s="3" t="s">
        <v>335</v>
      </c>
      <c r="E50" s="3" t="n">
        <v>76</v>
      </c>
      <c r="F50" s="6" t="s">
        <v>104</v>
      </c>
      <c r="G50" s="4" t="s">
        <v>103</v>
      </c>
      <c r="H50" s="3" t="n">
        <v>90</v>
      </c>
      <c r="I50" s="6" t="s">
        <v>123</v>
      </c>
      <c r="J50" s="4" t="s">
        <v>196</v>
      </c>
    </row>
    <row r="51" customFormat="false" ht="15" hidden="false" customHeight="false" outlineLevel="0" collapsed="false">
      <c r="A51" s="3" t="s">
        <v>292</v>
      </c>
      <c r="B51" s="3" t="s">
        <v>336</v>
      </c>
      <c r="C51" s="3" t="n">
        <v>2</v>
      </c>
      <c r="D51" s="3" t="s">
        <v>337</v>
      </c>
      <c r="E51" s="3" t="n">
        <v>76</v>
      </c>
      <c r="F51" s="6" t="s">
        <v>104</v>
      </c>
      <c r="G51" s="4" t="s">
        <v>103</v>
      </c>
      <c r="H51" s="3" t="n">
        <v>90</v>
      </c>
      <c r="I51" s="6" t="s">
        <v>123</v>
      </c>
      <c r="J51" s="4" t="s">
        <v>196</v>
      </c>
    </row>
    <row r="52" customFormat="false" ht="15" hidden="false" customHeight="false" outlineLevel="0" collapsed="false">
      <c r="A52" s="3" t="s">
        <v>292</v>
      </c>
      <c r="B52" s="3" t="s">
        <v>336</v>
      </c>
      <c r="C52" s="3" t="n">
        <v>3</v>
      </c>
      <c r="D52" s="3" t="s">
        <v>335</v>
      </c>
      <c r="E52" s="3" t="n">
        <v>78</v>
      </c>
      <c r="F52" s="6" t="s">
        <v>125</v>
      </c>
      <c r="G52" s="4" t="s">
        <v>124</v>
      </c>
      <c r="H52" s="3" t="n">
        <v>84</v>
      </c>
      <c r="I52" s="6" t="s">
        <v>134</v>
      </c>
      <c r="J52" s="4" t="s">
        <v>100</v>
      </c>
    </row>
    <row r="53" customFormat="false" ht="15" hidden="false" customHeight="false" outlineLevel="0" collapsed="false">
      <c r="A53" s="3" t="s">
        <v>292</v>
      </c>
      <c r="B53" s="3" t="s">
        <v>336</v>
      </c>
      <c r="C53" s="3" t="n">
        <v>3</v>
      </c>
      <c r="D53" s="3" t="s">
        <v>335</v>
      </c>
      <c r="E53" s="3" t="n">
        <v>78</v>
      </c>
      <c r="F53" s="6" t="s">
        <v>125</v>
      </c>
      <c r="G53" s="4" t="s">
        <v>124</v>
      </c>
      <c r="H53" s="3" t="n">
        <v>99</v>
      </c>
      <c r="I53" s="6" t="s">
        <v>123</v>
      </c>
      <c r="J53" s="4" t="s">
        <v>196</v>
      </c>
    </row>
    <row r="54" customFormat="false" ht="15" hidden="false" customHeight="false" outlineLevel="0" collapsed="false">
      <c r="A54" s="3" t="s">
        <v>292</v>
      </c>
      <c r="B54" s="3" t="s">
        <v>336</v>
      </c>
      <c r="C54" s="3" t="n">
        <v>3</v>
      </c>
      <c r="D54" s="3" t="s">
        <v>335</v>
      </c>
      <c r="E54" s="3" t="n">
        <v>84</v>
      </c>
      <c r="F54" s="6" t="s">
        <v>134</v>
      </c>
      <c r="G54" s="4" t="s">
        <v>100</v>
      </c>
      <c r="H54" s="3" t="n">
        <v>99</v>
      </c>
      <c r="I54" s="6" t="s">
        <v>123</v>
      </c>
      <c r="J54" s="4" t="s">
        <v>196</v>
      </c>
    </row>
    <row r="55" customFormat="false" ht="15" hidden="false" customHeight="false" outlineLevel="0" collapsed="false">
      <c r="A55" s="3" t="s">
        <v>292</v>
      </c>
      <c r="B55" s="3" t="s">
        <v>336</v>
      </c>
      <c r="C55" s="3" t="n">
        <v>3</v>
      </c>
      <c r="D55" s="3" t="s">
        <v>337</v>
      </c>
      <c r="E55" s="3" t="n">
        <v>78</v>
      </c>
      <c r="F55" s="6" t="s">
        <v>125</v>
      </c>
      <c r="G55" s="4" t="s">
        <v>124</v>
      </c>
      <c r="H55" s="3" t="n">
        <v>99</v>
      </c>
      <c r="I55" s="6" t="s">
        <v>123</v>
      </c>
      <c r="J55" s="4" t="s">
        <v>196</v>
      </c>
    </row>
    <row r="56" customFormat="false" ht="23.85" hidden="false" customHeight="false" outlineLevel="0" collapsed="false">
      <c r="A56" s="3" t="s">
        <v>292</v>
      </c>
      <c r="B56" s="3" t="s">
        <v>338</v>
      </c>
      <c r="C56" s="3" t="n">
        <v>2</v>
      </c>
      <c r="D56" s="3" t="s">
        <v>335</v>
      </c>
      <c r="E56" s="3" t="n">
        <v>76</v>
      </c>
      <c r="F56" s="6" t="s">
        <v>104</v>
      </c>
      <c r="G56" s="4" t="s">
        <v>103</v>
      </c>
      <c r="H56" s="3" t="n">
        <v>80</v>
      </c>
      <c r="I56" s="6" t="s">
        <v>134</v>
      </c>
      <c r="J56" s="4" t="s">
        <v>133</v>
      </c>
    </row>
    <row r="57" customFormat="false" ht="15" hidden="false" customHeight="false" outlineLevel="0" collapsed="false">
      <c r="A57" s="3" t="s">
        <v>292</v>
      </c>
      <c r="B57" s="3" t="s">
        <v>338</v>
      </c>
      <c r="C57" s="3" t="n">
        <v>2</v>
      </c>
      <c r="D57" s="3" t="s">
        <v>335</v>
      </c>
      <c r="E57" s="3" t="n">
        <v>76</v>
      </c>
      <c r="F57" s="6" t="s">
        <v>104</v>
      </c>
      <c r="G57" s="4" t="s">
        <v>103</v>
      </c>
      <c r="H57" s="3" t="n">
        <v>84</v>
      </c>
      <c r="I57" s="6" t="s">
        <v>123</v>
      </c>
      <c r="J57" s="4" t="s">
        <v>162</v>
      </c>
    </row>
    <row r="58" customFormat="false" ht="23.85" hidden="false" customHeight="false" outlineLevel="0" collapsed="false">
      <c r="A58" s="3" t="s">
        <v>292</v>
      </c>
      <c r="B58" s="3" t="s">
        <v>338</v>
      </c>
      <c r="C58" s="3" t="n">
        <v>2</v>
      </c>
      <c r="D58" s="3" t="s">
        <v>335</v>
      </c>
      <c r="E58" s="3" t="n">
        <v>80</v>
      </c>
      <c r="F58" s="6" t="s">
        <v>134</v>
      </c>
      <c r="G58" s="4" t="s">
        <v>133</v>
      </c>
      <c r="H58" s="3" t="n">
        <v>84</v>
      </c>
      <c r="I58" s="6" t="s">
        <v>123</v>
      </c>
      <c r="J58" s="4" t="s">
        <v>162</v>
      </c>
    </row>
    <row r="59" customFormat="false" ht="23.85" hidden="false" customHeight="false" outlineLevel="0" collapsed="false">
      <c r="A59" s="3" t="s">
        <v>292</v>
      </c>
      <c r="B59" s="3" t="s">
        <v>338</v>
      </c>
      <c r="C59" s="3" t="n">
        <v>2</v>
      </c>
      <c r="D59" s="3" t="s">
        <v>337</v>
      </c>
      <c r="E59" s="3" t="n">
        <v>76</v>
      </c>
      <c r="F59" s="6" t="s">
        <v>104</v>
      </c>
      <c r="G59" s="4" t="s">
        <v>103</v>
      </c>
      <c r="H59" s="3" t="n">
        <v>80</v>
      </c>
      <c r="I59" s="6" t="s">
        <v>134</v>
      </c>
      <c r="J59" s="4" t="s">
        <v>133</v>
      </c>
    </row>
    <row r="60" customFormat="false" ht="15" hidden="false" customHeight="false" outlineLevel="0" collapsed="false">
      <c r="A60" s="3" t="s">
        <v>292</v>
      </c>
      <c r="B60" s="3" t="s">
        <v>338</v>
      </c>
      <c r="C60" s="3" t="n">
        <v>2</v>
      </c>
      <c r="D60" s="3" t="s">
        <v>337</v>
      </c>
      <c r="E60" s="3" t="n">
        <v>76</v>
      </c>
      <c r="F60" s="6" t="s">
        <v>104</v>
      </c>
      <c r="G60" s="4" t="s">
        <v>103</v>
      </c>
      <c r="H60" s="3" t="n">
        <v>84</v>
      </c>
      <c r="I60" s="6" t="s">
        <v>123</v>
      </c>
      <c r="J60" s="4" t="s">
        <v>162</v>
      </c>
    </row>
    <row r="61" customFormat="false" ht="23.85" hidden="false" customHeight="false" outlineLevel="0" collapsed="false">
      <c r="A61" s="3" t="s">
        <v>292</v>
      </c>
      <c r="B61" s="3" t="s">
        <v>338</v>
      </c>
      <c r="C61" s="3" t="n">
        <v>2</v>
      </c>
      <c r="D61" s="3" t="s">
        <v>337</v>
      </c>
      <c r="E61" s="3" t="n">
        <v>80</v>
      </c>
      <c r="F61" s="6" t="s">
        <v>134</v>
      </c>
      <c r="G61" s="4" t="s">
        <v>133</v>
      </c>
      <c r="H61" s="3" t="n">
        <v>84</v>
      </c>
      <c r="I61" s="6" t="s">
        <v>123</v>
      </c>
      <c r="J61" s="4" t="s">
        <v>162</v>
      </c>
    </row>
    <row r="62" customFormat="false" ht="35.05" hidden="false" customHeight="false" outlineLevel="0" collapsed="false">
      <c r="A62" s="3" t="s">
        <v>292</v>
      </c>
      <c r="B62" s="3" t="s">
        <v>338</v>
      </c>
      <c r="C62" s="3" t="n">
        <v>4</v>
      </c>
      <c r="D62" s="3" t="s">
        <v>335</v>
      </c>
      <c r="E62" s="3" t="n">
        <v>78</v>
      </c>
      <c r="F62" s="6" t="s">
        <v>123</v>
      </c>
      <c r="G62" s="4" t="s">
        <v>122</v>
      </c>
      <c r="H62" s="3" t="n">
        <v>79</v>
      </c>
      <c r="I62" s="6" t="s">
        <v>134</v>
      </c>
      <c r="J62" s="4" t="s">
        <v>133</v>
      </c>
    </row>
    <row r="63" customFormat="false" ht="35.05" hidden="false" customHeight="false" outlineLevel="0" collapsed="false">
      <c r="A63" s="3" t="s">
        <v>292</v>
      </c>
      <c r="B63" s="3" t="s">
        <v>338</v>
      </c>
      <c r="C63" s="3" t="n">
        <v>4</v>
      </c>
      <c r="D63" s="3" t="s">
        <v>337</v>
      </c>
      <c r="E63" s="3" t="n">
        <v>78</v>
      </c>
      <c r="F63" s="6" t="s">
        <v>123</v>
      </c>
      <c r="G63" s="4" t="s">
        <v>122</v>
      </c>
      <c r="H63" s="3" t="n">
        <v>79</v>
      </c>
      <c r="I63" s="6" t="s">
        <v>134</v>
      </c>
      <c r="J63" s="4" t="s">
        <v>133</v>
      </c>
    </row>
    <row r="64" customFormat="false" ht="23.85" hidden="false" customHeight="false" outlineLevel="0" collapsed="false">
      <c r="A64" s="3" t="s">
        <v>292</v>
      </c>
      <c r="B64" s="3" t="s">
        <v>339</v>
      </c>
      <c r="C64" s="3" t="n">
        <v>1</v>
      </c>
      <c r="D64" s="3" t="s">
        <v>335</v>
      </c>
      <c r="E64" s="3" t="n">
        <v>78</v>
      </c>
      <c r="F64" s="6" t="s">
        <v>125</v>
      </c>
      <c r="G64" s="4" t="s">
        <v>124</v>
      </c>
      <c r="H64" s="3" t="n">
        <v>79</v>
      </c>
      <c r="I64" s="6" t="s">
        <v>134</v>
      </c>
      <c r="J64" s="4" t="s">
        <v>133</v>
      </c>
    </row>
    <row r="65" customFormat="false" ht="15" hidden="false" customHeight="false" outlineLevel="0" collapsed="false">
      <c r="A65" s="3" t="s">
        <v>292</v>
      </c>
      <c r="B65" s="3" t="s">
        <v>339</v>
      </c>
      <c r="C65" s="3" t="n">
        <v>1</v>
      </c>
      <c r="D65" s="3" t="s">
        <v>335</v>
      </c>
      <c r="E65" s="3" t="n">
        <v>78</v>
      </c>
      <c r="F65" s="6" t="s">
        <v>125</v>
      </c>
      <c r="G65" s="4" t="s">
        <v>124</v>
      </c>
      <c r="H65" s="3" t="n">
        <v>99</v>
      </c>
      <c r="I65" s="6" t="s">
        <v>123</v>
      </c>
      <c r="J65" s="4" t="s">
        <v>196</v>
      </c>
    </row>
    <row r="66" customFormat="false" ht="23.85" hidden="false" customHeight="false" outlineLevel="0" collapsed="false">
      <c r="A66" s="3" t="s">
        <v>292</v>
      </c>
      <c r="B66" s="3" t="s">
        <v>339</v>
      </c>
      <c r="C66" s="3" t="n">
        <v>1</v>
      </c>
      <c r="D66" s="3" t="s">
        <v>335</v>
      </c>
      <c r="E66" s="3" t="n">
        <v>79</v>
      </c>
      <c r="F66" s="6" t="s">
        <v>134</v>
      </c>
      <c r="G66" s="4" t="s">
        <v>133</v>
      </c>
      <c r="H66" s="3" t="n">
        <v>99</v>
      </c>
      <c r="I66" s="6" t="s">
        <v>123</v>
      </c>
      <c r="J66" s="4" t="s">
        <v>196</v>
      </c>
    </row>
    <row r="67" customFormat="false" ht="15" hidden="false" customHeight="false" outlineLevel="0" collapsed="false">
      <c r="A67" s="3" t="s">
        <v>292</v>
      </c>
      <c r="B67" s="3" t="s">
        <v>339</v>
      </c>
      <c r="C67" s="3" t="n">
        <v>1</v>
      </c>
      <c r="D67" s="3" t="s">
        <v>337</v>
      </c>
      <c r="E67" s="3" t="n">
        <v>75</v>
      </c>
      <c r="F67" s="6" t="s">
        <v>104</v>
      </c>
      <c r="G67" s="4" t="s">
        <v>103</v>
      </c>
      <c r="H67" s="3" t="n">
        <v>78</v>
      </c>
      <c r="I67" s="6" t="s">
        <v>125</v>
      </c>
      <c r="J67" s="4" t="s">
        <v>124</v>
      </c>
    </row>
    <row r="68" customFormat="false" ht="15" hidden="false" customHeight="false" outlineLevel="0" collapsed="false">
      <c r="A68" s="3" t="s">
        <v>292</v>
      </c>
      <c r="B68" s="3" t="s">
        <v>339</v>
      </c>
      <c r="C68" s="3" t="n">
        <v>1</v>
      </c>
      <c r="D68" s="3" t="s">
        <v>337</v>
      </c>
      <c r="E68" s="3" t="n">
        <v>75</v>
      </c>
      <c r="F68" s="6" t="s">
        <v>104</v>
      </c>
      <c r="G68" s="4" t="s">
        <v>103</v>
      </c>
      <c r="H68" s="3" t="n">
        <v>99</v>
      </c>
      <c r="I68" s="6" t="s">
        <v>123</v>
      </c>
      <c r="J68" s="4" t="s">
        <v>196</v>
      </c>
    </row>
    <row r="69" customFormat="false" ht="15" hidden="false" customHeight="false" outlineLevel="0" collapsed="false">
      <c r="A69" s="3" t="s">
        <v>292</v>
      </c>
      <c r="B69" s="3" t="s">
        <v>339</v>
      </c>
      <c r="C69" s="3" t="n">
        <v>1</v>
      </c>
      <c r="D69" s="3" t="s">
        <v>337</v>
      </c>
      <c r="E69" s="3" t="n">
        <v>78</v>
      </c>
      <c r="F69" s="6" t="s">
        <v>125</v>
      </c>
      <c r="G69" s="4" t="s">
        <v>124</v>
      </c>
      <c r="H69" s="3" t="n">
        <v>99</v>
      </c>
      <c r="I69" s="6" t="s">
        <v>123</v>
      </c>
      <c r="J69" s="4" t="s">
        <v>196</v>
      </c>
    </row>
    <row r="70" customFormat="false" ht="23.85" hidden="false" customHeight="false" outlineLevel="0" collapsed="false">
      <c r="A70" s="3" t="s">
        <v>292</v>
      </c>
      <c r="B70" s="3" t="s">
        <v>339</v>
      </c>
      <c r="C70" s="3" t="n">
        <v>2</v>
      </c>
      <c r="D70" s="3" t="s">
        <v>335</v>
      </c>
      <c r="E70" s="3" t="n">
        <v>80</v>
      </c>
      <c r="F70" s="6" t="s">
        <v>134</v>
      </c>
      <c r="G70" s="4" t="s">
        <v>133</v>
      </c>
      <c r="H70" s="3" t="n">
        <v>84</v>
      </c>
      <c r="I70" s="6" t="s">
        <v>123</v>
      </c>
      <c r="J70" s="4" t="s">
        <v>162</v>
      </c>
    </row>
    <row r="71" customFormat="false" ht="23.85" hidden="false" customHeight="false" outlineLevel="0" collapsed="false">
      <c r="A71" s="3" t="s">
        <v>292</v>
      </c>
      <c r="B71" s="3" t="s">
        <v>339</v>
      </c>
      <c r="C71" s="3" t="n">
        <v>2</v>
      </c>
      <c r="D71" s="3" t="s">
        <v>337</v>
      </c>
      <c r="E71" s="3" t="n">
        <v>76</v>
      </c>
      <c r="F71" s="6" t="s">
        <v>104</v>
      </c>
      <c r="G71" s="4" t="s">
        <v>103</v>
      </c>
      <c r="H71" s="3" t="n">
        <v>80</v>
      </c>
      <c r="I71" s="6" t="s">
        <v>134</v>
      </c>
      <c r="J71" s="4" t="s">
        <v>133</v>
      </c>
    </row>
    <row r="72" customFormat="false" ht="15" hidden="false" customHeight="false" outlineLevel="0" collapsed="false">
      <c r="A72" s="3" t="s">
        <v>292</v>
      </c>
      <c r="B72" s="3" t="s">
        <v>339</v>
      </c>
      <c r="C72" s="3" t="n">
        <v>2</v>
      </c>
      <c r="D72" s="3" t="s">
        <v>337</v>
      </c>
      <c r="E72" s="3" t="n">
        <v>76</v>
      </c>
      <c r="F72" s="6" t="s">
        <v>104</v>
      </c>
      <c r="G72" s="4" t="s">
        <v>103</v>
      </c>
      <c r="H72" s="3" t="n">
        <v>84</v>
      </c>
      <c r="I72" s="6" t="s">
        <v>123</v>
      </c>
      <c r="J72" s="4" t="s">
        <v>162</v>
      </c>
    </row>
    <row r="73" customFormat="false" ht="23.85" hidden="false" customHeight="false" outlineLevel="0" collapsed="false">
      <c r="A73" s="3" t="s">
        <v>292</v>
      </c>
      <c r="B73" s="3" t="s">
        <v>339</v>
      </c>
      <c r="C73" s="3" t="n">
        <v>2</v>
      </c>
      <c r="D73" s="3" t="s">
        <v>337</v>
      </c>
      <c r="E73" s="3" t="n">
        <v>80</v>
      </c>
      <c r="F73" s="6" t="s">
        <v>134</v>
      </c>
      <c r="G73" s="4" t="s">
        <v>133</v>
      </c>
      <c r="H73" s="3" t="n">
        <v>84</v>
      </c>
      <c r="I73" s="6" t="s">
        <v>123</v>
      </c>
      <c r="J73" s="4" t="s">
        <v>162</v>
      </c>
    </row>
    <row r="74" customFormat="false" ht="23.85" hidden="false" customHeight="false" outlineLevel="0" collapsed="false">
      <c r="A74" s="3" t="s">
        <v>298</v>
      </c>
      <c r="B74" s="3" t="s">
        <v>336</v>
      </c>
      <c r="C74" s="3" t="n">
        <v>3</v>
      </c>
      <c r="D74" s="3" t="s">
        <v>335</v>
      </c>
      <c r="E74" s="3" t="n">
        <v>85</v>
      </c>
      <c r="F74" s="6" t="s">
        <v>168</v>
      </c>
      <c r="G74" s="4" t="s">
        <v>167</v>
      </c>
      <c r="H74" s="3" t="n">
        <v>93</v>
      </c>
      <c r="I74" s="6" t="s">
        <v>184</v>
      </c>
      <c r="J74" s="4" t="s">
        <v>183</v>
      </c>
    </row>
    <row r="75" customFormat="false" ht="23.85" hidden="false" customHeight="false" outlineLevel="0" collapsed="false">
      <c r="A75" s="3" t="s">
        <v>298</v>
      </c>
      <c r="B75" s="3" t="s">
        <v>336</v>
      </c>
      <c r="C75" s="3" t="n">
        <v>3</v>
      </c>
      <c r="D75" s="3" t="s">
        <v>337</v>
      </c>
      <c r="E75" s="3" t="n">
        <v>85</v>
      </c>
      <c r="F75" s="6" t="s">
        <v>168</v>
      </c>
      <c r="G75" s="4" t="s">
        <v>167</v>
      </c>
      <c r="H75" s="3" t="n">
        <v>93</v>
      </c>
      <c r="I75" s="6" t="s">
        <v>184</v>
      </c>
      <c r="J75" s="4" t="s">
        <v>183</v>
      </c>
    </row>
    <row r="76" customFormat="false" ht="23.85" hidden="false" customHeight="false" outlineLevel="0" collapsed="false">
      <c r="A76" s="3" t="s">
        <v>298</v>
      </c>
      <c r="B76" s="3" t="s">
        <v>339</v>
      </c>
      <c r="C76" s="3" t="n">
        <v>1</v>
      </c>
      <c r="D76" s="3" t="s">
        <v>337</v>
      </c>
      <c r="E76" s="3" t="n">
        <v>86</v>
      </c>
      <c r="F76" s="6" t="s">
        <v>168</v>
      </c>
      <c r="G76" s="4" t="s">
        <v>167</v>
      </c>
      <c r="H76" s="3" t="n">
        <v>94</v>
      </c>
      <c r="I76" s="6" t="s">
        <v>184</v>
      </c>
      <c r="J76" s="4" t="s">
        <v>183</v>
      </c>
    </row>
    <row r="77" customFormat="false" ht="23.85" hidden="false" customHeight="false" outlineLevel="0" collapsed="false">
      <c r="A77" s="3" t="s">
        <v>298</v>
      </c>
      <c r="B77" s="3" t="s">
        <v>340</v>
      </c>
      <c r="C77" s="3" t="n">
        <v>1</v>
      </c>
      <c r="D77" s="3" t="s">
        <v>335</v>
      </c>
      <c r="E77" s="3" t="n">
        <v>92</v>
      </c>
      <c r="F77" s="6" t="s">
        <v>184</v>
      </c>
      <c r="G77" s="4" t="s">
        <v>183</v>
      </c>
      <c r="H77" s="3" t="n">
        <v>99</v>
      </c>
      <c r="I77" s="6" t="s">
        <v>168</v>
      </c>
      <c r="J77" s="4" t="s">
        <v>211</v>
      </c>
    </row>
    <row r="78" customFormat="false" ht="23.85" hidden="false" customHeight="false" outlineLevel="0" collapsed="false">
      <c r="A78" s="3" t="s">
        <v>298</v>
      </c>
      <c r="B78" s="3" t="s">
        <v>340</v>
      </c>
      <c r="C78" s="3" t="n">
        <v>1</v>
      </c>
      <c r="D78" s="3" t="s">
        <v>337</v>
      </c>
      <c r="E78" s="3" t="n">
        <v>99</v>
      </c>
      <c r="F78" s="6" t="s">
        <v>168</v>
      </c>
      <c r="G78" s="4" t="s">
        <v>211</v>
      </c>
      <c r="H78" s="3" t="n">
        <v>89</v>
      </c>
      <c r="I78" s="6" t="s">
        <v>184</v>
      </c>
      <c r="J78" s="4" t="s">
        <v>183</v>
      </c>
    </row>
    <row r="79" customFormat="false" ht="23.85" hidden="false" customHeight="false" outlineLevel="0" collapsed="false">
      <c r="A79" s="3" t="s">
        <v>298</v>
      </c>
      <c r="B79" s="3" t="s">
        <v>340</v>
      </c>
      <c r="C79" s="3" t="n">
        <v>2</v>
      </c>
      <c r="D79" s="3" t="s">
        <v>335</v>
      </c>
      <c r="E79" s="3" t="n">
        <v>90</v>
      </c>
      <c r="F79" s="6" t="s">
        <v>168</v>
      </c>
      <c r="G79" s="4" t="s">
        <v>199</v>
      </c>
      <c r="H79" s="3" t="n">
        <v>93</v>
      </c>
      <c r="I79" s="6" t="s">
        <v>184</v>
      </c>
      <c r="J79" s="4" t="s">
        <v>183</v>
      </c>
    </row>
    <row r="80" customFormat="false" ht="23.85" hidden="false" customHeight="false" outlineLevel="0" collapsed="false">
      <c r="A80" s="3" t="s">
        <v>298</v>
      </c>
      <c r="B80" s="3" t="s">
        <v>340</v>
      </c>
      <c r="C80" s="3" t="n">
        <v>2</v>
      </c>
      <c r="D80" s="3" t="s">
        <v>337</v>
      </c>
      <c r="E80" s="3" t="n">
        <v>90</v>
      </c>
      <c r="F80" s="6" t="s">
        <v>168</v>
      </c>
      <c r="G80" s="4" t="s">
        <v>199</v>
      </c>
      <c r="H80" s="3" t="n">
        <v>87</v>
      </c>
      <c r="I80" s="6" t="s">
        <v>184</v>
      </c>
      <c r="J80" s="4" t="s">
        <v>183</v>
      </c>
    </row>
    <row r="81" customFormat="false" ht="23.85" hidden="false" customHeight="false" outlineLevel="0" collapsed="false">
      <c r="A81" s="3" t="s">
        <v>298</v>
      </c>
      <c r="B81" s="3" t="s">
        <v>340</v>
      </c>
      <c r="C81" s="3" t="n">
        <v>3</v>
      </c>
      <c r="D81" s="3" t="s">
        <v>337</v>
      </c>
      <c r="E81" s="3" t="n">
        <v>91</v>
      </c>
      <c r="F81" s="6" t="s">
        <v>168</v>
      </c>
      <c r="G81" s="4" t="s">
        <v>199</v>
      </c>
      <c r="H81" s="3" t="n">
        <v>94</v>
      </c>
      <c r="I81" s="6" t="s">
        <v>184</v>
      </c>
      <c r="J81" s="4" t="s">
        <v>183</v>
      </c>
    </row>
  </sheetData>
  <autoFilter ref="A1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80"/>
  </cols>
  <sheetData>
    <row r="1" customFormat="false" ht="16.15" hidden="false" customHeight="false" outlineLevel="0" collapsed="false">
      <c r="A1" s="1" t="s">
        <v>341</v>
      </c>
    </row>
    <row r="3" customFormat="false" ht="19.5" hidden="false" customHeight="true" outlineLevel="0" collapsed="false">
      <c r="A3" s="10" t="s">
        <v>342</v>
      </c>
      <c r="B3" s="8" t="n">
        <v>20</v>
      </c>
      <c r="C3" s="11" t="s">
        <v>343</v>
      </c>
    </row>
    <row r="4" customFormat="false" ht="57.45" hidden="false" customHeight="false" outlineLevel="0" collapsed="false">
      <c r="A4" s="10" t="s">
        <v>344</v>
      </c>
      <c r="B4" s="8" t="n">
        <v>2</v>
      </c>
      <c r="C4" s="11" t="s">
        <v>345</v>
      </c>
    </row>
    <row r="5" customFormat="false" ht="35.05" hidden="false" customHeight="false" outlineLevel="0" collapsed="false">
      <c r="A5" s="10" t="s">
        <v>346</v>
      </c>
      <c r="B5" s="8" t="n">
        <v>2026</v>
      </c>
      <c r="C5" s="11" t="s">
        <v>347</v>
      </c>
    </row>
    <row r="7" customFormat="false" ht="15" hidden="false" customHeight="false" outlineLevel="0" collapsed="false">
      <c r="A7" s="10" t="s">
        <v>348</v>
      </c>
    </row>
    <row r="8" customFormat="false" ht="15" hidden="false" customHeight="false" outlineLevel="0" collapsed="false">
      <c r="A8" s="2" t="s">
        <v>79</v>
      </c>
      <c r="B8" s="2" t="s">
        <v>349</v>
      </c>
      <c r="C8" s="2" t="s">
        <v>350</v>
      </c>
      <c r="D8" s="2" t="s">
        <v>351</v>
      </c>
      <c r="E8" s="2" t="s">
        <v>352</v>
      </c>
    </row>
    <row r="9" customFormat="false" ht="30" hidden="false" customHeight="true" outlineLevel="0" collapsed="false">
      <c r="A9" s="3" t="n">
        <v>1</v>
      </c>
      <c r="B9" s="8" t="n">
        <v>17</v>
      </c>
      <c r="C9" s="3" t="n">
        <f aca="false">ROUNDUP(B9/2,0)</f>
        <v>9</v>
      </c>
      <c r="D9" s="3" t="n">
        <f aca="false">ROUNDDOWN(B9/2,0)</f>
        <v>8</v>
      </c>
      <c r="E9" s="4" t="s">
        <v>353</v>
      </c>
    </row>
    <row r="10" customFormat="false" ht="30" hidden="false" customHeight="true" outlineLevel="0" collapsed="false">
      <c r="A10" s="3" t="n">
        <v>2</v>
      </c>
      <c r="B10" s="8" t="n">
        <v>17</v>
      </c>
      <c r="C10" s="3" t="n">
        <f aca="false">ROUNDUP(B10/2,0)</f>
        <v>9</v>
      </c>
      <c r="D10" s="3" t="n">
        <f aca="false">ROUNDDOWN(B10/2,0)</f>
        <v>8</v>
      </c>
      <c r="E10" s="4" t="s">
        <v>354</v>
      </c>
    </row>
    <row r="11" customFormat="false" ht="30" hidden="false" customHeight="true" outlineLevel="0" collapsed="false">
      <c r="A11" s="3" t="n">
        <v>3</v>
      </c>
      <c r="B11" s="8" t="n">
        <v>17</v>
      </c>
      <c r="C11" s="3" t="n">
        <f aca="false">ROUNDUP(B11/2,0)</f>
        <v>9</v>
      </c>
      <c r="D11" s="3" t="n">
        <f aca="false">ROUNDDOWN(B11/2,0)</f>
        <v>8</v>
      </c>
      <c r="E11" s="4" t="s">
        <v>355</v>
      </c>
    </row>
    <row r="12" customFormat="false" ht="30" hidden="false" customHeight="true" outlineLevel="0" collapsed="false">
      <c r="A12" s="3" t="n">
        <v>4</v>
      </c>
      <c r="B12" s="8" t="n">
        <v>20</v>
      </c>
      <c r="C12" s="3" t="n">
        <f aca="false">ROUNDUP(B12/2,0)</f>
        <v>10</v>
      </c>
      <c r="D12" s="3" t="n">
        <f aca="false">ROUNDDOWN(B12/2,0)</f>
        <v>10</v>
      </c>
      <c r="E12" s="4" t="s">
        <v>356</v>
      </c>
    </row>
    <row r="14" customFormat="false" ht="15" hidden="false" customHeight="false" outlineLevel="0" collapsed="false">
      <c r="A14" s="10" t="s">
        <v>357</v>
      </c>
    </row>
    <row r="15" customFormat="false" ht="43.5" hidden="false" customHeight="true" outlineLevel="0" collapsed="false">
      <c r="A15" s="12" t="s">
        <v>358</v>
      </c>
      <c r="B15" s="12"/>
      <c r="C15" s="12"/>
      <c r="D15" s="12"/>
      <c r="E15" s="12"/>
    </row>
    <row r="16" customFormat="false" ht="43.5" hidden="false" customHeight="true" outlineLevel="0" collapsed="false">
      <c r="A16" s="12" t="s">
        <v>359</v>
      </c>
      <c r="B16" s="12"/>
      <c r="C16" s="12"/>
      <c r="D16" s="12"/>
      <c r="E16" s="12"/>
    </row>
    <row r="17" customFormat="false" ht="43.5" hidden="false" customHeight="true" outlineLevel="0" collapsed="false">
      <c r="A17" s="12" t="s">
        <v>360</v>
      </c>
      <c r="B17" s="12"/>
      <c r="C17" s="12"/>
      <c r="D17" s="12"/>
      <c r="E17" s="12"/>
    </row>
    <row r="18" customFormat="false" ht="43.5" hidden="false" customHeight="true" outlineLevel="0" collapsed="false">
      <c r="A18" s="12" t="s">
        <v>361</v>
      </c>
      <c r="B18" s="12"/>
      <c r="C18" s="12"/>
      <c r="D18" s="12"/>
      <c r="E18" s="12"/>
    </row>
    <row r="19" customFormat="false" ht="43.5" hidden="false" customHeight="true" outlineLevel="0" collapsed="false">
      <c r="A19" s="12" t="s">
        <v>362</v>
      </c>
      <c r="B19" s="12"/>
      <c r="C19" s="12"/>
      <c r="D19" s="12"/>
      <c r="E19" s="12"/>
    </row>
    <row r="20" customFormat="false" ht="43.5" hidden="false" customHeight="true" outlineLevel="0" collapsed="false">
      <c r="A20" s="12" t="s">
        <v>363</v>
      </c>
      <c r="B20" s="12"/>
      <c r="C20" s="12"/>
      <c r="D20" s="12"/>
      <c r="E20" s="12"/>
    </row>
  </sheetData>
  <mergeCells count="6">
    <mergeCell ref="A15:E15"/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2026-09-30T09:07:07Z</dcterms:created>
  <dc:creator>openpyxl</dc:creator>
  <dc:description/>
  <dc:language>en-US</dc:language>
  <cp:lastModifiedBy/>
  <dcterms:modified xsi:type="dcterms:W3CDTF">2026-09-30T09:07:07Z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